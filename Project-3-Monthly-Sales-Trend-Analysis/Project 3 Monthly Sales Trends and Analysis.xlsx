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82aa19b8e192c027/Desktop/"/>
    </mc:Choice>
  </mc:AlternateContent>
  <xr:revisionPtr revIDLastSave="15" documentId="8_{1ABC2C6F-F2CF-4E76-A1F0-3137BD3F4535}" xr6:coauthVersionLast="47" xr6:coauthVersionMax="47" xr10:uidLastSave="{E0526185-A4B5-458B-87D6-9B93814E85BD}"/>
  <bookViews>
    <workbookView xWindow="-108" yWindow="-108" windowWidth="23256" windowHeight="12456" activeTab="1" xr2:uid="{00000000-000D-0000-FFFF-FFFF00000000}"/>
  </bookViews>
  <sheets>
    <sheet name="Pivot Table " sheetId="2" r:id="rId1"/>
    <sheet name="Sales Dashboard" sheetId="3" r:id="rId2"/>
    <sheet name="Raw Data " sheetId="1" r:id="rId3"/>
  </sheets>
  <definedNames>
    <definedName name="Slicer_Month">#N/A</definedName>
    <definedName name="Slicer_Product">#N/A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sharedStrings.xml><?xml version="1.0" encoding="utf-8"?>
<sst xmlns="http://schemas.openxmlformats.org/spreadsheetml/2006/main" count="831" uniqueCount="402">
  <si>
    <t>Order_ID</t>
  </si>
  <si>
    <t>Date</t>
  </si>
  <si>
    <t>Product</t>
  </si>
  <si>
    <t>Quantity</t>
  </si>
  <si>
    <t>Price</t>
  </si>
  <si>
    <t>Region</t>
  </si>
  <si>
    <t>Sales</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</si>
  <si>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</si>
  <si>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</si>
  <si>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</si>
  <si>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</si>
  <si>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</si>
  <si>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</si>
  <si>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</si>
  <si>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</si>
  <si>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</si>
  <si>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</si>
  <si>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</si>
  <si>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</si>
  <si>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</si>
  <si>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</si>
  <si>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</si>
  <si>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</si>
  <si>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</si>
  <si>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</si>
  <si>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</si>
  <si>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</si>
  <si>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</si>
  <si>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</si>
  <si>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</si>
  <si>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</si>
  <si>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</si>
  <si>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</si>
  <si>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</si>
  <si>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</si>
  <si>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</si>
  <si>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</si>
  <si>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</si>
  <si>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</si>
  <si>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</si>
  <si>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</si>
  <si>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</si>
  <si>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</si>
  <si>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</si>
  <si>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</si>
  <si>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</si>
  <si>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</si>
  <si>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</si>
  <si>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</si>
  <si>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</si>
  <si>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</si>
  <si>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</si>
  <si>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</si>
  <si>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</si>
  <si>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</si>
  <si>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</si>
  <si>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</si>
  <si>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</si>
  <si>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</si>
  <si>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</si>
  <si>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</si>
  <si>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</si>
  <si>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</si>
  <si>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</si>
  <si>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</si>
  <si>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</si>
  <si>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</si>
  <si>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</si>
  <si>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</si>
  <si>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</si>
  <si>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</si>
  <si>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</si>
  <si>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</si>
  <si>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</si>
  <si>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</si>
  <si>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</si>
  <si>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</si>
  <si>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</si>
  <si>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</si>
  <si>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</si>
  <si>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</si>
  <si>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</si>
  <si>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</si>
  <si>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</si>
  <si>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</si>
  <si>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</si>
  <si>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</si>
  <si>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</si>
  <si>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</si>
  <si>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</si>
  <si>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</si>
  <si>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</si>
  <si>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</si>
  <si>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</si>
  <si>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</si>
  <si>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</si>
  <si>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</si>
  <si>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</si>
  <si>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</si>
  <si>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</si>
  <si>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</si>
  <si>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</si>
  <si>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</si>
  <si>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</si>
  <si>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</si>
  <si>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</si>
  <si>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</si>
  <si>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</si>
  <si>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</si>
  <si>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</si>
  <si>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</si>
  <si>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</si>
  <si>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</si>
  <si>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</si>
  <si>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</si>
  <si>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</si>
  <si>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</si>
  <si>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</si>
  <si>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</si>
  <si>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</si>
  <si>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</si>
  <si>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</si>
  <si>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</si>
  <si>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</si>
  <si>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</si>
  <si>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</si>
  <si>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</si>
  <si>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</si>
  <si>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</si>
  <si>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</si>
  <si>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</si>
  <si>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</si>
  <si>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</si>
  <si>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</si>
  <si>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</si>
  <si>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</si>
  <si>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</si>
  <si>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</si>
  <si>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</si>
  <si>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</si>
  <si>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</si>
  <si>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</si>
  <si>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</si>
  <si>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</si>
  <si>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</si>
  <si>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</si>
  <si>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</si>
  <si>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</si>
  <si>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</si>
  <si>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</si>
  <si>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</si>
  <si>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</si>
  <si>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</si>
  <si>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</si>
  <si>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</si>
  <si>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</si>
  <si>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</si>
  <si>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</si>
  <si>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</si>
  <si>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</si>
  <si>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</si>
  <si>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</si>
  <si>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</si>
  <si>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</si>
  <si>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</si>
  <si>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</si>
  <si>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</si>
  <si>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</si>
  <si>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</si>
  <si>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</si>
  <si>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</si>
  <si>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</si>
  <si>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</si>
  <si>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</si>
  <si>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</si>
  <si>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</si>
  <si>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</si>
  <si>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</si>
  <si>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</si>
  <si>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</si>
  <si>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</si>
  <si>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</si>
  <si>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</si>
  <si>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</si>
  <si>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</si>
  <si>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</si>
  <si>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</si>
  <si>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</si>
  <si>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</si>
  <si>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</si>
  <si>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</si>
  <si>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</si>
  <si>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</si>
  <si>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</si>
  <si>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</si>
  <si>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</si>
  <si>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</si>
  <si>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</si>
  <si>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</si>
  <si>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</si>
  <si>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</si>
  <si>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</si>
  <si>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</si>
  <si>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</si>
  <si>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</si>
  <si>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</si>
  <si>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</si>
  <si>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2024-11-23</t>
  </si>
  <si>
    <t>2024-05-05</t>
  </si>
  <si>
    <t>2024-12-12</t>
  </si>
  <si>
    <t>2024-01-17</t>
  </si>
  <si>
    <t>2024-09-15</t>
  </si>
  <si>
    <t>2024-11-28</t>
  </si>
  <si>
    <t>2024-10-28</t>
  </si>
  <si>
    <t>2024-12-23</t>
  </si>
  <si>
    <t>2024-04-20</t>
  </si>
  <si>
    <t>2024-02-19</t>
  </si>
  <si>
    <t>2024-01-23</t>
  </si>
  <si>
    <t>2024-02-10</t>
  </si>
  <si>
    <t>2024-10-22</t>
  </si>
  <si>
    <t>2024-12-04</t>
  </si>
  <si>
    <t>2024-04-29</t>
  </si>
  <si>
    <t>2024-11-21</t>
  </si>
  <si>
    <t>2024-04-17</t>
  </si>
  <si>
    <t>2024-11-07</t>
  </si>
  <si>
    <t>2024-03-24</t>
  </si>
  <si>
    <t>2024-12-16</t>
  </si>
  <si>
    <t>2024-04-18</t>
  </si>
  <si>
    <t>2024-03-14</t>
  </si>
  <si>
    <t>2024-10-26</t>
  </si>
  <si>
    <t>2024-07-04</t>
  </si>
  <si>
    <t>2024-02-16</t>
  </si>
  <si>
    <t>2024-11-17</t>
  </si>
  <si>
    <t>2024-11-01</t>
  </si>
  <si>
    <t>2024-09-27</t>
  </si>
  <si>
    <t>2024-12-15</t>
  </si>
  <si>
    <t>2024-02-27</t>
  </si>
  <si>
    <t>2024-01-02</t>
  </si>
  <si>
    <t>2024-11-16</t>
  </si>
  <si>
    <t>2024-03-19</t>
  </si>
  <si>
    <t>2024-11-02</t>
  </si>
  <si>
    <t>2024-10-17</t>
  </si>
  <si>
    <t>2024-02-05</t>
  </si>
  <si>
    <t>2024-12-03</t>
  </si>
  <si>
    <t>2024-06-08</t>
  </si>
  <si>
    <t>2024-08-12</t>
  </si>
  <si>
    <t>2024-04-25</t>
  </si>
  <si>
    <t>2024-04-27</t>
  </si>
  <si>
    <t>2024-02-06</t>
  </si>
  <si>
    <t>2024-04-19</t>
  </si>
  <si>
    <t>2024-05-04</t>
  </si>
  <si>
    <t>2024-02-18</t>
  </si>
  <si>
    <t>2024-08-04</t>
  </si>
  <si>
    <t>2024-12-10</t>
  </si>
  <si>
    <t>2024-02-25</t>
  </si>
  <si>
    <t>2024-03-12</t>
  </si>
  <si>
    <t>2024-05-07</t>
  </si>
  <si>
    <t>2024-01-26</t>
  </si>
  <si>
    <t>2024-05-01</t>
  </si>
  <si>
    <t>2024-07-13</t>
  </si>
  <si>
    <t>2024-05-26</t>
  </si>
  <si>
    <t>2024-03-20</t>
  </si>
  <si>
    <t>2024-10-23</t>
  </si>
  <si>
    <t>2024-01-30</t>
  </si>
  <si>
    <t>2024-10-31</t>
  </si>
  <si>
    <t>2024-03-02</t>
  </si>
  <si>
    <t>2024-11-13</t>
  </si>
  <si>
    <t>2024-05-13</t>
  </si>
  <si>
    <t>2024-05-02</t>
  </si>
  <si>
    <t>2024-08-22</t>
  </si>
  <si>
    <t>2024-01-05</t>
  </si>
  <si>
    <t>2024-02-07</t>
  </si>
  <si>
    <t>2024-03-08</t>
  </si>
  <si>
    <t>2024-07-08</t>
  </si>
  <si>
    <t>2024-11-09</t>
  </si>
  <si>
    <t>2024-12-05</t>
  </si>
  <si>
    <t>2024-02-29</t>
  </si>
  <si>
    <t>2024-05-19</t>
  </si>
  <si>
    <t>2024-04-14</t>
  </si>
  <si>
    <t>2024-01-27</t>
  </si>
  <si>
    <t>2024-03-23</t>
  </si>
  <si>
    <t>2024-10-14</t>
  </si>
  <si>
    <t>2024-10-06</t>
  </si>
  <si>
    <t>2024-08-08</t>
  </si>
  <si>
    <t>2024-01-21</t>
  </si>
  <si>
    <t>2024-12-07</t>
  </si>
  <si>
    <t>2024-03-31</t>
  </si>
  <si>
    <t>2024-07-29</t>
  </si>
  <si>
    <t>2024-07-14</t>
  </si>
  <si>
    <t>2024-04-12</t>
  </si>
  <si>
    <t>2024-04-24</t>
  </si>
  <si>
    <t>2024-06-17</t>
  </si>
  <si>
    <t>2024-06-28</t>
  </si>
  <si>
    <t>2024-01-15</t>
  </si>
  <si>
    <t>2024-10-24</t>
  </si>
  <si>
    <t>2024-06-25</t>
  </si>
  <si>
    <t>2024-07-16</t>
  </si>
  <si>
    <t>2024-12-28</t>
  </si>
  <si>
    <t>2024-07-05</t>
  </si>
  <si>
    <t>2024-11-15</t>
  </si>
  <si>
    <t>2024-09-16</t>
  </si>
  <si>
    <t>2024-07-25</t>
  </si>
  <si>
    <t>2024-08-03</t>
  </si>
  <si>
    <t>2024-11-11</t>
  </si>
  <si>
    <t>2024-06-04</t>
  </si>
  <si>
    <t>2024-08-26</t>
  </si>
  <si>
    <t>2024-09-18</t>
  </si>
  <si>
    <t>2024-02-17</t>
  </si>
  <si>
    <t>2024-04-11</t>
  </si>
  <si>
    <t>2024-08-31</t>
  </si>
  <si>
    <t>2024-07-31</t>
  </si>
  <si>
    <t>2024-09-10</t>
  </si>
  <si>
    <t>2024-02-24</t>
  </si>
  <si>
    <t>2024-03-09</t>
  </si>
  <si>
    <t>2024-08-14</t>
  </si>
  <si>
    <t>2024-10-07</t>
  </si>
  <si>
    <t>2024-08-18</t>
  </si>
  <si>
    <t>2024-09-23</t>
  </si>
  <si>
    <t>2024-08-13</t>
  </si>
  <si>
    <t>2024-03-11</t>
  </si>
  <si>
    <t>2024-12-27</t>
  </si>
  <si>
    <t>2024-06-18</t>
  </si>
  <si>
    <t>2024-04-15</t>
  </si>
  <si>
    <t>2024-10-21</t>
  </si>
  <si>
    <t>2024-06-01</t>
  </si>
  <si>
    <t>2024-09-06</t>
  </si>
  <si>
    <t>2024-03-25</t>
  </si>
  <si>
    <t>2024-07-20</t>
  </si>
  <si>
    <t>2024-02-12</t>
  </si>
  <si>
    <t>2024-08-20</t>
  </si>
  <si>
    <t>2024-01-10</t>
  </si>
  <si>
    <t>2024-01-16</t>
  </si>
  <si>
    <t>2024-10-15</t>
  </si>
  <si>
    <t>2024-07-07</t>
  </si>
  <si>
    <t>2024-02-22</t>
  </si>
  <si>
    <t>2024-10-16</t>
  </si>
  <si>
    <t>2024-01-07</t>
  </si>
  <si>
    <t>2024-08-09</t>
  </si>
  <si>
    <t>2024-08-10</t>
  </si>
  <si>
    <t>2024-08-11</t>
  </si>
  <si>
    <t>2024-02-14</t>
  </si>
  <si>
    <t>2024-08-25</t>
  </si>
  <si>
    <t>2024-06-21</t>
  </si>
  <si>
    <t>2024-05-23</t>
  </si>
  <si>
    <t>2024-09-21</t>
  </si>
  <si>
    <t>2024-09-07</t>
  </si>
  <si>
    <t>2024-11-26</t>
  </si>
  <si>
    <t>2024-05-30</t>
  </si>
  <si>
    <t>2024-06-05</t>
  </si>
  <si>
    <t>2024-08-05</t>
  </si>
  <si>
    <t>2024-05-18</t>
  </si>
  <si>
    <t>2024-04-08</t>
  </si>
  <si>
    <t>2024-04-09</t>
  </si>
  <si>
    <t>2024-06-03</t>
  </si>
  <si>
    <t>2024-05-20</t>
  </si>
  <si>
    <t>2024-09-02</t>
  </si>
  <si>
    <t>2024-05-09</t>
  </si>
  <si>
    <t>2024-09-08</t>
  </si>
  <si>
    <t>2024-03-18</t>
  </si>
  <si>
    <t>2024-02-13</t>
  </si>
  <si>
    <t>2024-11-06</t>
  </si>
  <si>
    <t>2024-09-24</t>
  </si>
  <si>
    <t>2024-11-08</t>
  </si>
  <si>
    <t>2024-05-15</t>
  </si>
  <si>
    <t>2024-10-09</t>
  </si>
  <si>
    <t>2024-04-28</t>
  </si>
  <si>
    <t>2024-05-16</t>
  </si>
  <si>
    <t>2024-06-06</t>
  </si>
  <si>
    <t>2024-12-24</t>
  </si>
  <si>
    <t>2024-06-14</t>
  </si>
  <si>
    <t>2024-09-22</t>
  </si>
  <si>
    <t>Mouse</t>
  </si>
  <si>
    <t>Monitor</t>
  </si>
  <si>
    <t>Camera</t>
  </si>
  <si>
    <t>Laptop</t>
  </si>
  <si>
    <t>Speaker</t>
  </si>
  <si>
    <t>Printer</t>
  </si>
  <si>
    <t>Phone</t>
  </si>
  <si>
    <t>Tablet</t>
  </si>
  <si>
    <t>Headphones</t>
  </si>
  <si>
    <t>Keyboard</t>
  </si>
  <si>
    <t>East</t>
  </si>
  <si>
    <t>North</t>
  </si>
  <si>
    <t>West</t>
  </si>
  <si>
    <t>South</t>
  </si>
  <si>
    <t>Month</t>
  </si>
  <si>
    <t>Row Labels</t>
  </si>
  <si>
    <t>Apr-2024</t>
  </si>
  <si>
    <t>Aug-2024</t>
  </si>
  <si>
    <t>Dec-2024</t>
  </si>
  <si>
    <t>Feb-2024</t>
  </si>
  <si>
    <t>Jan-2024</t>
  </si>
  <si>
    <t>Jun-2024</t>
  </si>
  <si>
    <t>Mar-2024</t>
  </si>
  <si>
    <t>May-2024</t>
  </si>
  <si>
    <t>Nov-2024</t>
  </si>
  <si>
    <t>Grand Total</t>
  </si>
  <si>
    <t>Sum of Sales</t>
  </si>
  <si>
    <t>Total Sales</t>
  </si>
  <si>
    <t>Jul-2024</t>
  </si>
  <si>
    <t>Sep-2024</t>
  </si>
  <si>
    <t>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</si>
</sst>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pivotButton="1"/>
    <xf numFmtId="0" fontId="0" fillId="0" borderId="0" xfId="0" applyAlignment="1">
      <alignment horizontal="left"/>
    </xf>
    <xf numFmtId="43" fontId="0" fillId="0" borderId="0" xfId="1" applyFont="1"/>
    <xf numFmtId="0" fontId="0" fillId="0" borderId="0" xfId="0" applyNumberFormat="1"/>
  </cellXfs>
  <cellStyles count="2">
    <cellStyle name="Comma" xfId="1" builtinId="3"/>
    <cellStyle name="Normal" xfId="0" builtinId="0"/>
  </cellStyles>
  <dxfs count="5">
    <dxf>
      <numFmt numFmtId="0" formatCode="General"/>
    </dxf>
    <dxf>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FF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Monthly Sales Trends and Analysis.xlsx]Pivot Table !Monthly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00000"/>
                </a:solidFill>
              </a:rPr>
              <a:t>Monthly Sales Trend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c:f>
              <c:strCache>
                <c:ptCount val="1"/>
                <c:pt idx="0">
                  <c:v>Total</c:v>
                </c:pt>
              </c:strCache>
            </c:strRef>
          </c:tx>
          <c:spPr>
            <a:ln w="28575" cap="rnd">
              <a:solidFill>
                <a:schemeClr val="accent1"/>
              </a:solidFill>
              <a:round/>
            </a:ln>
            <a:effectLst/>
          </c:spPr>
          <c:marker>
            <c:symbol val="none"/>
          </c:marker>
          <c:cat>
            <c:strRef>
              <c:f>'Pivot Table '!$A$4:$A$16</c:f>
              <c:strCache>
                <c:ptCount val="12"/>
                <c:pt idx="0">
                  <c:v>Jul-2024</c:v>
                </c:pt>
                <c:pt idx="1">
                  <c:v>Dec-2024</c:v>
                </c:pt>
                <c:pt idx="2">
                  <c:v>Mar-2024</c:v>
                </c:pt>
                <c:pt idx="3">
                  <c:v>Sep-2024</c:v>
                </c:pt>
                <c:pt idx="4">
                  <c:v>Jan-2024</c:v>
                </c:pt>
                <c:pt idx="5">
                  <c:v>Oct-2024</c:v>
                </c:pt>
                <c:pt idx="6">
                  <c:v>Jun-2024</c:v>
                </c:pt>
                <c:pt idx="7">
                  <c:v>May-2024</c:v>
                </c:pt>
                <c:pt idx="8">
                  <c:v>Feb-2024</c:v>
                </c:pt>
                <c:pt idx="9">
                  <c:v>Apr-2024</c:v>
                </c:pt>
                <c:pt idx="10">
                  <c:v>Nov-2024</c:v>
                </c:pt>
                <c:pt idx="11">
                  <c:v>Aug-2024</c:v>
                </c:pt>
              </c:strCache>
            </c:strRef>
          </c:cat>
          <c:val>
            <c:numRef>
              <c:f>'Pivot Table '!$B$4:$B$16</c:f>
              <c:numCache>
                <c:formatCode>General</c:formatCode>
                <c:ptCount val="12"/>
                <c:pt idx="0">
                  <c:v>2094362</c:v>
                </c:pt>
                <c:pt idx="1">
                  <c:v>2270585</c:v>
                </c:pt>
                <c:pt idx="2">
                  <c:v>2300021</c:v>
                </c:pt>
                <c:pt idx="3">
                  <c:v>2805085</c:v>
                </c:pt>
                <c:pt idx="4">
                  <c:v>2832655</c:v>
                </c:pt>
                <c:pt idx="5">
                  <c:v>2995992</c:v>
                </c:pt>
                <c:pt idx="6">
                  <c:v>3399829</c:v>
                </c:pt>
                <c:pt idx="7">
                  <c:v>3623590</c:v>
                </c:pt>
                <c:pt idx="8">
                  <c:v>3835261</c:v>
                </c:pt>
                <c:pt idx="9">
                  <c:v>4079462</c:v>
                </c:pt>
                <c:pt idx="10">
                  <c:v>4565366</c:v>
                </c:pt>
                <c:pt idx="11">
                  <c:v>5682378</c:v>
                </c:pt>
              </c:numCache>
            </c:numRef>
          </c:val>
          <c:smooth val="1"/>
          <c:extLst>
            <c:ext xmlns:c16="http://schemas.microsoft.com/office/drawing/2014/chart" uri="{C3380CC4-5D6E-409C-BE32-E72D297353CC}">
              <c16:uniqueId val="{00000000-AB4E-44BF-9BCC-78DB56E7A248}"/>
            </c:ext>
          </c:extLst>
        </c:ser>
        <c:dLbls>
          <c:showLegendKey val="0"/>
          <c:showVal val="0"/>
          <c:showCatName val="0"/>
          <c:showSerName val="0"/>
          <c:showPercent val="0"/>
          <c:showBubbleSize val="0"/>
        </c:dLbls>
        <c:smooth val="0"/>
        <c:axId val="1449973807"/>
        <c:axId val="1449977647"/>
      </c:lineChart>
      <c:catAx>
        <c:axId val="1449973807"/>
        <c:scaling>
          <c:orientation val="minMax"/>
        </c:scaling>
        <c:delete val="1"/>
        <c:axPos val="b"/>
        <c:numFmt formatCode="General" sourceLinked="1"/>
        <c:majorTickMark val="out"/>
        <c:minorTickMark val="none"/>
        <c:tickLblPos val="nextTo"/>
        <c:crossAx val="1449977647"/>
        <c:crosses val="autoZero"/>
        <c:auto val="1"/>
        <c:lblAlgn val="ctr"/>
        <c:lblOffset val="100"/>
        <c:noMultiLvlLbl val="0"/>
      </c:catAx>
      <c:valAx>
        <c:axId val="1449977647"/>
        <c:scaling>
          <c:orientation val="minMax"/>
        </c:scaling>
        <c:delete val="0"/>
        <c:axPos val="l"/>
        <c:numFmt formatCode="General" sourceLinked="1"/>
        <c:majorTickMark val="out"/>
        <c:minorTickMark val="none"/>
        <c:tickLblPos val="nextTo"/>
        <c:spPr>
          <a:solidFill>
            <a:schemeClr val="bg2"/>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3 Monthly Sales Trends and Analysis.xlsx]Pivot Table !PivotTable2</c:name>
    <c:fmtId val="17"/>
  </c:pivotSource>
  <c:chart>
    <c:title>
      <c:tx>
        <c:rich>
          <a:bodyPr rot="0" spcFirstLastPara="1" vertOverflow="ellipsis" vert="horz" wrap="square" anchor="ctr" anchorCtr="1"/>
          <a:lstStyle/>
          <a:p>
            <a:pPr algn="ctr" rtl="0">
              <a:defRPr lang="en-IN" sz="1400" b="1" i="0" u="none" strike="noStrike" kern="1200" spc="0" baseline="0">
                <a:solidFill>
                  <a:srgbClr val="C00000"/>
                </a:solidFill>
                <a:latin typeface="+mn-lt"/>
                <a:ea typeface="+mn-ea"/>
                <a:cs typeface="+mn-cs"/>
              </a:defRPr>
            </a:pPr>
            <a:r>
              <a:rPr lang="en-IN" sz="1400" b="1" i="0" u="none" strike="noStrike" kern="1200" spc="0" baseline="0">
                <a:solidFill>
                  <a:srgbClr val="C0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'!$D$11:$D$15</c:f>
              <c:strCache>
                <c:ptCount val="4"/>
                <c:pt idx="0">
                  <c:v>East</c:v>
                </c:pt>
                <c:pt idx="1">
                  <c:v>North</c:v>
                </c:pt>
                <c:pt idx="2">
                  <c:v>South</c:v>
                </c:pt>
                <c:pt idx="3">
                  <c:v>West</c:v>
                </c:pt>
              </c:strCache>
            </c:strRef>
          </c:cat>
          <c:val>
            <c:numRef>
              <c:f>'Pivot Table '!$E$11:$E$15</c:f>
              <c:numCache>
                <c:formatCode>General</c:formatCode>
                <c:ptCount val="4"/>
                <c:pt idx="0">
                  <c:v>10017683</c:v>
                </c:pt>
                <c:pt idx="1">
                  <c:v>9552315</c:v>
                </c:pt>
                <c:pt idx="2">
                  <c:v>11492506</c:v>
                </c:pt>
                <c:pt idx="3">
                  <c:v>9422082</c:v>
                </c:pt>
              </c:numCache>
            </c:numRef>
          </c:val>
          <c:extLst>
            <c:ext xmlns:c16="http://schemas.microsoft.com/office/drawing/2014/chart" uri="{C3380CC4-5D6E-409C-BE32-E72D297353CC}">
              <c16:uniqueId val="{00000000-E1B9-404F-8BC6-FD3B2E175561}"/>
            </c:ext>
          </c:extLst>
        </c:ser>
        <c:dLbls>
          <c:showLegendKey val="0"/>
          <c:showVal val="0"/>
          <c:showCatName val="0"/>
          <c:showSerName val="0"/>
          <c:showPercent val="0"/>
          <c:showBubbleSize val="0"/>
        </c:dLbls>
        <c:gapWidth val="219"/>
        <c:overlap val="-27"/>
        <c:axId val="1429525151"/>
        <c:axId val="1429525631"/>
      </c:barChart>
      <c:catAx>
        <c:axId val="142952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525631"/>
        <c:crosses val="autoZero"/>
        <c:auto val="1"/>
        <c:lblAlgn val="ctr"/>
        <c:lblOffset val="100"/>
        <c:noMultiLvlLbl val="0"/>
      </c:catAx>
      <c:valAx>
        <c:axId val="1429525631"/>
        <c:scaling>
          <c:orientation val="minMax"/>
        </c:scaling>
        <c:delete val="1"/>
        <c:axPos val="l"/>
        <c:numFmt formatCode="General" sourceLinked="1"/>
        <c:majorTickMark val="none"/>
        <c:minorTickMark val="none"/>
        <c:tickLblPos val="nextTo"/>
        <c:crossAx val="142952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388620</xdr:colOff>
      <xdr:row>1</xdr:row>
      <xdr:rowOff>38100</xdr:rowOff>
    </xdr:from>
    <xdr:to>
      <xdr:col>21</xdr:col>
      <xdr:colOff>556260</xdr:colOff>
      <xdr:row>14</xdr:row>
      <xdr:rowOff>106680</xdr:rowOff>
    </xdr:to>
    <xdr:graphicFrame macro="">
      <xdr:nvGraphicFramePr>
        <xdr:cNvPr id="2" name="Chart 1">
          <a:extLst>
            <a:ext uri="{FF2B5EF4-FFF2-40B4-BE49-F238E27FC236}">
              <a16:creationId xmlns:a16="http://schemas.microsoft.com/office/drawing/2014/main" id="{75CA3338-E12C-47D4-B20D-04AE6C4CD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14</xdr:row>
      <xdr:rowOff>121920</xdr:rowOff>
    </xdr:from>
    <xdr:to>
      <xdr:col>21</xdr:col>
      <xdr:colOff>556260</xdr:colOff>
      <xdr:row>29</xdr:row>
      <xdr:rowOff>121920</xdr:rowOff>
    </xdr:to>
    <xdr:graphicFrame macro="">
      <xdr:nvGraphicFramePr>
        <xdr:cNvPr id="3" name="Chart 2">
          <a:extLst>
            <a:ext uri="{FF2B5EF4-FFF2-40B4-BE49-F238E27FC236}">
              <a16:creationId xmlns:a16="http://schemas.microsoft.com/office/drawing/2014/main" id="{06AE513A-001B-4E66-B8B8-3D2F0184F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1</xdr:row>
      <xdr:rowOff>22860</xdr:rowOff>
    </xdr:from>
    <xdr:to>
      <xdr:col>9</xdr:col>
      <xdr:colOff>266700</xdr:colOff>
      <xdr:row>2</xdr:row>
      <xdr:rowOff>167640</xdr:rowOff>
    </xdr:to>
    <xdr:sp macro="" textlink="">
      <xdr:nvSpPr>
        <xdr:cNvPr id="4" name="Rectangle: Rounded Corners 3">
          <a:extLst>
            <a:ext uri="{FF2B5EF4-FFF2-40B4-BE49-F238E27FC236}">
              <a16:creationId xmlns:a16="http://schemas.microsoft.com/office/drawing/2014/main" id="{1D365BC9-07BE-99F6-3DF5-BA077811872B}"/>
            </a:ext>
          </a:extLst>
        </xdr:cNvPr>
        <xdr:cNvSpPr/>
      </xdr:nvSpPr>
      <xdr:spPr>
        <a:xfrm>
          <a:off x="236220" y="205740"/>
          <a:ext cx="5516880" cy="32766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IN" sz="1600" b="1"/>
            <a:t>Monthly Sales Trends and Regional Analysis Dashboard</a:t>
          </a:r>
        </a:p>
      </xdr:txBody>
    </xdr:sp>
    <xdr:clientData/>
  </xdr:twoCellAnchor>
  <xdr:twoCellAnchor>
    <xdr:from>
      <xdr:col>0</xdr:col>
      <xdr:colOff>297180</xdr:colOff>
      <xdr:row>3</xdr:row>
      <xdr:rowOff>160020</xdr:rowOff>
    </xdr:from>
    <xdr:to>
      <xdr:col>3</xdr:col>
      <xdr:colOff>586740</xdr:colOff>
      <xdr:row>7</xdr:row>
      <xdr:rowOff>15240</xdr:rowOff>
    </xdr:to>
    <xdr:sp macro="" textlink="'Pivot Table '!B18">
      <xdr:nvSpPr>
        <xdr:cNvPr id="5" name="Rectangle: Rounded Corners 4">
          <a:extLst>
            <a:ext uri="{FF2B5EF4-FFF2-40B4-BE49-F238E27FC236}">
              <a16:creationId xmlns:a16="http://schemas.microsoft.com/office/drawing/2014/main" id="{7FE2E463-0D97-E5F3-9B17-4C74F37027EB}"/>
            </a:ext>
          </a:extLst>
        </xdr:cNvPr>
        <xdr:cNvSpPr/>
      </xdr:nvSpPr>
      <xdr:spPr>
        <a:xfrm>
          <a:off x="297180" y="70866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00CC"/>
              </a:solidFill>
              <a:effectLst/>
              <a:latin typeface="+mn-lt"/>
              <a:ea typeface="+mn-ea"/>
              <a:cs typeface="+mn-cs"/>
            </a:rPr>
            <a:t>Total</a:t>
          </a:r>
          <a:r>
            <a:rPr lang="en-IN" sz="1400" b="1" baseline="0">
              <a:solidFill>
                <a:srgbClr val="0000CC"/>
              </a:solidFill>
              <a:effectLst/>
              <a:latin typeface="+mn-lt"/>
              <a:ea typeface="+mn-ea"/>
              <a:cs typeface="+mn-cs"/>
            </a:rPr>
            <a:t> Sales</a:t>
          </a:r>
          <a:endParaRPr lang="en-IN" sz="1400" b="1">
            <a:solidFill>
              <a:srgbClr val="0000CC"/>
            </a:solidFill>
            <a:effectLst/>
          </a:endParaRPr>
        </a:p>
        <a:p>
          <a:pPr algn="ctr"/>
          <a:fld id="{E95E1199-B716-48BF-86CF-872C91FA9424}" type="TxLink">
            <a:rPr lang="en-US" sz="1400" b="1" i="0" u="none" strike="noStrike">
              <a:solidFill>
                <a:srgbClr val="0000CC"/>
              </a:solidFill>
              <a:latin typeface="Calibri"/>
              <a:ea typeface="Calibri"/>
              <a:cs typeface="Calibri"/>
            </a:rPr>
            <a:pPr algn="ctr"/>
            <a:t> 40,484,586.00 </a:t>
          </a:fld>
          <a:endParaRPr lang="en-IN" sz="1400" b="1">
            <a:solidFill>
              <a:srgbClr val="0000CC"/>
            </a:solidFill>
          </a:endParaRPr>
        </a:p>
      </xdr:txBody>
    </xdr:sp>
    <xdr:clientData/>
  </xdr:twoCellAnchor>
  <xdr:twoCellAnchor>
    <xdr:from>
      <xdr:col>4</xdr:col>
      <xdr:colOff>594360</xdr:colOff>
      <xdr:row>4</xdr:row>
      <xdr:rowOff>0</xdr:rowOff>
    </xdr:from>
    <xdr:to>
      <xdr:col>8</xdr:col>
      <xdr:colOff>274320</xdr:colOff>
      <xdr:row>7</xdr:row>
      <xdr:rowOff>38100</xdr:rowOff>
    </xdr:to>
    <xdr:sp macro="" textlink="">
      <xdr:nvSpPr>
        <xdr:cNvPr id="6" name="Rectangle: Rounded Corners 5">
          <a:extLst>
            <a:ext uri="{FF2B5EF4-FFF2-40B4-BE49-F238E27FC236}">
              <a16:creationId xmlns:a16="http://schemas.microsoft.com/office/drawing/2014/main" id="{C6B8DF6E-72AA-41C7-9ED9-71AAEC247F12}"/>
            </a:ext>
          </a:extLst>
        </xdr:cNvPr>
        <xdr:cNvSpPr/>
      </xdr:nvSpPr>
      <xdr:spPr>
        <a:xfrm>
          <a:off x="3032760" y="73152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B050"/>
              </a:solidFill>
              <a:effectLst/>
              <a:latin typeface="+mn-lt"/>
              <a:ea typeface="+mn-ea"/>
              <a:cs typeface="+mn-cs"/>
            </a:rPr>
            <a:t>Best</a:t>
          </a:r>
          <a:r>
            <a:rPr lang="en-IN" sz="1400" b="1" baseline="0">
              <a:solidFill>
                <a:srgbClr val="00B050"/>
              </a:solidFill>
              <a:effectLst/>
              <a:latin typeface="+mn-lt"/>
              <a:ea typeface="+mn-ea"/>
              <a:cs typeface="+mn-cs"/>
            </a:rPr>
            <a:t> Month</a:t>
          </a:r>
          <a:endParaRPr lang="en-IN" sz="1400" b="1">
            <a:solidFill>
              <a:srgbClr val="00B050"/>
            </a:solidFill>
            <a:effectLst/>
          </a:endParaRPr>
        </a:p>
        <a:p>
          <a:pPr marL="0" indent="0" algn="ctr"/>
          <a:r>
            <a:rPr lang="en-IN" sz="1400" b="1">
              <a:solidFill>
                <a:srgbClr val="00B050"/>
              </a:solidFill>
              <a:latin typeface="+mn-lt"/>
              <a:ea typeface="+mn-ea"/>
              <a:cs typeface="+mn-cs"/>
            </a:rPr>
            <a:t> Aug-2024</a:t>
          </a:r>
        </a:p>
      </xdr:txBody>
    </xdr:sp>
    <xdr:clientData/>
  </xdr:twoCellAnchor>
  <xdr:twoCellAnchor>
    <xdr:from>
      <xdr:col>0</xdr:col>
      <xdr:colOff>310727</xdr:colOff>
      <xdr:row>8</xdr:row>
      <xdr:rowOff>14393</xdr:rowOff>
    </xdr:from>
    <xdr:to>
      <xdr:col>3</xdr:col>
      <xdr:colOff>600287</xdr:colOff>
      <xdr:row>11</xdr:row>
      <xdr:rowOff>52493</xdr:rowOff>
    </xdr:to>
    <xdr:sp macro="" textlink="">
      <xdr:nvSpPr>
        <xdr:cNvPr id="7" name="Rectangle: Rounded Corners 6">
          <a:extLst>
            <a:ext uri="{FF2B5EF4-FFF2-40B4-BE49-F238E27FC236}">
              <a16:creationId xmlns:a16="http://schemas.microsoft.com/office/drawing/2014/main" id="{F94506DD-7442-4DFC-88F6-C89D137CE925}"/>
            </a:ext>
          </a:extLst>
        </xdr:cNvPr>
        <xdr:cNvSpPr/>
      </xdr:nvSpPr>
      <xdr:spPr>
        <a:xfrm>
          <a:off x="310727" y="1504526"/>
          <a:ext cx="2118360" cy="5969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rgbClr val="00B0F0"/>
              </a:solidFill>
              <a:latin typeface="+mn-lt"/>
              <a:ea typeface="+mn-ea"/>
              <a:cs typeface="+mn-cs"/>
            </a:rPr>
            <a:t>Top Region</a:t>
          </a:r>
        </a:p>
        <a:p>
          <a:pPr marL="0" indent="0" algn="ctr"/>
          <a:r>
            <a:rPr lang="en-IN" sz="1400" b="1">
              <a:solidFill>
                <a:srgbClr val="00B0F0"/>
              </a:solidFill>
              <a:latin typeface="+mn-lt"/>
              <a:ea typeface="+mn-ea"/>
              <a:cs typeface="+mn-cs"/>
            </a:rPr>
            <a:t>South</a:t>
          </a:r>
        </a:p>
      </xdr:txBody>
    </xdr:sp>
    <xdr:clientData/>
  </xdr:twoCellAnchor>
  <xdr:twoCellAnchor>
    <xdr:from>
      <xdr:col>5</xdr:col>
      <xdr:colOff>0</xdr:colOff>
      <xdr:row>8</xdr:row>
      <xdr:rowOff>22860</xdr:rowOff>
    </xdr:from>
    <xdr:to>
      <xdr:col>8</xdr:col>
      <xdr:colOff>289560</xdr:colOff>
      <xdr:row>11</xdr:row>
      <xdr:rowOff>60960</xdr:rowOff>
    </xdr:to>
    <xdr:sp macro="" textlink="">
      <xdr:nvSpPr>
        <xdr:cNvPr id="8" name="Rectangle: Rounded Corners 7">
          <a:extLst>
            <a:ext uri="{FF2B5EF4-FFF2-40B4-BE49-F238E27FC236}">
              <a16:creationId xmlns:a16="http://schemas.microsoft.com/office/drawing/2014/main" id="{B5948774-6A86-49B9-B46D-278D231DFE47}"/>
            </a:ext>
          </a:extLst>
        </xdr:cNvPr>
        <xdr:cNvSpPr/>
      </xdr:nvSpPr>
      <xdr:spPr>
        <a:xfrm>
          <a:off x="3048000" y="148590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rgbClr val="FF0000"/>
              </a:solidFill>
              <a:latin typeface="+mn-lt"/>
              <a:ea typeface="+mn-ea"/>
              <a:cs typeface="+mn-cs"/>
            </a:rPr>
            <a:t>Wrost</a:t>
          </a:r>
          <a:r>
            <a:rPr lang="en-IN" sz="1400" b="1" baseline="0">
              <a:solidFill>
                <a:srgbClr val="FF0000"/>
              </a:solidFill>
              <a:latin typeface="+mn-lt"/>
              <a:ea typeface="+mn-ea"/>
              <a:cs typeface="+mn-cs"/>
            </a:rPr>
            <a:t> Month</a:t>
          </a:r>
        </a:p>
        <a:p>
          <a:pPr marL="0" indent="0" algn="ctr"/>
          <a:r>
            <a:rPr lang="en-IN" sz="1400" b="1">
              <a:solidFill>
                <a:srgbClr val="FF0000"/>
              </a:solidFill>
              <a:latin typeface="+mn-lt"/>
              <a:ea typeface="+mn-ea"/>
              <a:cs typeface="+mn-cs"/>
            </a:rPr>
            <a:t>July-2024</a:t>
          </a:r>
        </a:p>
      </xdr:txBody>
    </xdr:sp>
    <xdr:clientData/>
  </xdr:twoCellAnchor>
  <xdr:twoCellAnchor>
    <xdr:from>
      <xdr:col>5</xdr:col>
      <xdr:colOff>15240</xdr:colOff>
      <xdr:row>12</xdr:row>
      <xdr:rowOff>121920</xdr:rowOff>
    </xdr:from>
    <xdr:to>
      <xdr:col>8</xdr:col>
      <xdr:colOff>320040</xdr:colOff>
      <xdr:row>28</xdr:row>
      <xdr:rowOff>167640</xdr:rowOff>
    </xdr:to>
    <xdr:sp macro="" textlink="">
      <xdr:nvSpPr>
        <xdr:cNvPr id="9" name="TextBox 8">
          <a:extLst>
            <a:ext uri="{FF2B5EF4-FFF2-40B4-BE49-F238E27FC236}">
              <a16:creationId xmlns:a16="http://schemas.microsoft.com/office/drawing/2014/main" id="{8EFFEC5A-322F-F9E3-EF69-E50DC71BFA49}"/>
            </a:ext>
          </a:extLst>
        </xdr:cNvPr>
        <xdr:cNvSpPr txBox="1"/>
      </xdr:nvSpPr>
      <xdr:spPr>
        <a:xfrm>
          <a:off x="3063240" y="2316480"/>
          <a:ext cx="2133600" cy="2971800"/>
        </a:xfrm>
        <a:prstGeom prst="rect">
          <a:avLst/>
        </a:prstGeom>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1001">
          <a:schemeClr val="lt2"/>
        </a:fillRef>
        <a:effectRef idx="0">
          <a:scrgbClr r="0" g="0" b="0"/>
        </a:effectRef>
        <a:fontRef idx="minor">
          <a:schemeClr val="dk1"/>
        </a:fontRef>
      </xdr:style>
      <xdr:txBody>
        <a:bodyPr vertOverflow="clip" horzOverflow="clip" wrap="square" rtlCol="0" anchor="t"/>
        <a:lstStyle/>
        <a:p>
          <a:pPr algn="ctr"/>
          <a:r>
            <a:rPr lang="en-IN" sz="1100"/>
            <a:t> </a:t>
          </a:r>
          <a:r>
            <a:rPr lang="en-IN" sz="1600" b="1"/>
            <a:t>Key Insights</a:t>
          </a:r>
        </a:p>
        <a:p>
          <a:endParaRPr lang="en-IN" sz="900" b="1"/>
        </a:p>
        <a:p>
          <a:r>
            <a:rPr lang="en-IN" sz="900" b="1"/>
            <a:t>•  Total sales reached ₹40,84,586 across all regions.</a:t>
          </a:r>
        </a:p>
        <a:p>
          <a:endParaRPr lang="en-IN" sz="900" b="1"/>
        </a:p>
        <a:p>
          <a:r>
            <a:rPr lang="en-IN" sz="900" b="1"/>
            <a:t>•  August 2024 was the best-performing month with the highest sales growth.</a:t>
          </a:r>
        </a:p>
        <a:p>
          <a:endParaRPr lang="en-IN" sz="900" b="1"/>
        </a:p>
        <a:p>
          <a:r>
            <a:rPr lang="en-IN" sz="900" b="1"/>
            <a:t>•  July 2024 recorded the lowest sales among all months.</a:t>
          </a:r>
        </a:p>
        <a:p>
          <a:endParaRPr lang="en-IN" sz="900" b="1"/>
        </a:p>
        <a:p>
          <a:r>
            <a:rPr lang="en-IN" sz="900" b="1"/>
            <a:t>•  Sales showed a consistent upward trend from July to August 2024.</a:t>
          </a:r>
        </a:p>
        <a:p>
          <a:endParaRPr lang="en-IN" sz="900" b="1"/>
        </a:p>
        <a:p>
          <a:r>
            <a:rPr lang="en-IN" sz="900" b="1"/>
            <a:t>•  South region generated the highest revenue compared to other regions.</a:t>
          </a:r>
        </a:p>
        <a:p>
          <a:endParaRPr lang="en-IN" sz="900" b="1"/>
        </a:p>
        <a:p>
          <a:r>
            <a:rPr lang="en-IN" sz="900" b="1"/>
            <a:t>•  West region showed comparatively lower sales performance.</a:t>
          </a:r>
        </a:p>
        <a:p>
          <a:endParaRPr lang="en-IN" sz="900" b="1"/>
        </a:p>
        <a:p>
          <a:r>
            <a:rPr lang="en-IN" sz="900" b="1"/>
            <a:t>•  Overall sales performance indicates positive business growth over time.</a:t>
          </a:r>
        </a:p>
      </xdr:txBody>
    </xdr:sp>
    <xdr:clientData/>
  </xdr:twoCellAnchor>
  <xdr:twoCellAnchor editAs="oneCell">
    <xdr:from>
      <xdr:col>0</xdr:col>
      <xdr:colOff>327660</xdr:colOff>
      <xdr:row>12</xdr:row>
      <xdr:rowOff>160020</xdr:rowOff>
    </xdr:from>
    <xdr:to>
      <xdr:col>4</xdr:col>
      <xdr:colOff>22860</xdr:colOff>
      <xdr:row>17</xdr:row>
      <xdr:rowOff>167640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74582479-A615-426C-BC9E-E8484DE46C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7660" y="2354580"/>
              <a:ext cx="21336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24</xdr:row>
      <xdr:rowOff>68581</xdr:rowOff>
    </xdr:from>
    <xdr:to>
      <xdr:col>4</xdr:col>
      <xdr:colOff>45720</xdr:colOff>
      <xdr:row>29</xdr:row>
      <xdr:rowOff>68581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AF8D59BB-9AF0-4F5B-8A3C-A55E1EED39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2900" y="4457701"/>
              <a:ext cx="21412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18</xdr:row>
      <xdr:rowOff>30481</xdr:rowOff>
    </xdr:from>
    <xdr:to>
      <xdr:col>4</xdr:col>
      <xdr:colOff>38100</xdr:colOff>
      <xdr:row>23</xdr:row>
      <xdr:rowOff>114300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2EE71D46-21A6-4CD5-B867-BABC88E6DA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7660" y="3322321"/>
              <a:ext cx="214884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bhay Sharma" refreshedDate="46150.561787037041" createdVersion="8" refreshedVersion="8" minRefreshableVersion="3" recordCount="200" xr:uid="{C90A657E-3D0A-408D-AFDC-10F6776C121D}">
  <cacheSource type="worksheet">
    <worksheetSource name="Table3"/>
  </cacheSource>
  <cacheFields count="8">
    <cacheField name="Order_ID" numFmtId="0">
      <sharedItems/>
    </cacheField>
    <cacheField name="Date" numFmtId="0">
      <sharedItems/>
    </cacheField>
    <cacheField name="Product" numFmtId="0">
      <sharedItems count="10">
        <s v="Mouse"/>
        <s v="Monitor"/>
        <s v="Camera"/>
        <s v="Laptop"/>
        <s v="Speaker"/>
        <s v="Printer"/>
        <s v="Phone"/>
        <s v="Tablet"/>
        <s v="Headphones"/>
        <s v="Keyboard"/>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675" maxValue="49834"/>
    </cacheField>
    <cacheField name="Region" numFmtId="0">
      <sharedItems count="4">
        <s v="East"/>
        <s v="North"/>
        <s v="West"/>
        <s v="South"/>
      </sharedItems>
    </cacheField>
    <cacheField name="Sales" numFmtId="0">
      <sharedItems containsSemiMixedTypes="0" containsString="0" containsNumber="1" containsInteger="1" minValue="2025" maxValue="746610"/>
    </cacheField>
    <cacheField name="Month" numFmtId="0">
      <sharedItems count="12">
        <s v="Nov-2024"/>
        <s v="May-2024"/>
        <s v="Dec-2024"/>
        <s v="Jan-2024"/>
        <s v="Sep-2024"/>
        <s v="Oct-2024"/>
        <s v="Apr-2024"/>
        <s v="Feb-2024"/>
        <s v="Mar-2024"/>
        <s v="Jul-2024"/>
        <s v="Jun-2024"/>
        <s v="Aug-2024"/>
      </sharedItems>
    </cacheField>
  </cacheFields>
  <extLst>
    <ext xmlns:x14="http://schemas.microsoft.com/office/spreadsheetml/2009/9/main" uri="{725AE2AE-9491-48be-B2B4-4EB974FC3084}">
      <x14:pivotCacheDefinition pivotCacheId="1715813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2024-11-23"/>
    <x v="0"/>
    <n v="1"/>
    <n v="49098"/>
    <x v="0"/>
    <n v="49098"/>
    <x v="0"/>
  </r>
  <r>
    <s v="ORD002"/>
    <s v="2024-05-05"/>
    <x v="1"/>
    <n v="3"/>
    <n v="48765"/>
    <x v="1"/>
    <n v="146295"/>
    <x v="1"/>
  </r>
  <r>
    <s v="ORD003"/>
    <s v="2024-12-12"/>
    <x v="2"/>
    <n v="2"/>
    <n v="39198"/>
    <x v="2"/>
    <n v="78396"/>
    <x v="2"/>
  </r>
  <r>
    <s v="ORD004"/>
    <s v="2024-01-17"/>
    <x v="3"/>
    <n v="2"/>
    <n v="14828"/>
    <x v="3"/>
    <n v="29656"/>
    <x v="3"/>
  </r>
  <r>
    <s v="ORD005"/>
    <s v="2024-09-15"/>
    <x v="4"/>
    <n v="1"/>
    <n v="37281"/>
    <x v="3"/>
    <n v="37281"/>
    <x v="4"/>
  </r>
  <r>
    <s v="ORD006"/>
    <s v="2024-11-28"/>
    <x v="2"/>
    <n v="7"/>
    <n v="14946"/>
    <x v="2"/>
    <n v="104622"/>
    <x v="0"/>
  </r>
  <r>
    <s v="ORD007"/>
    <s v="2024-10-28"/>
    <x v="5"/>
    <n v="13"/>
    <n v="925"/>
    <x v="3"/>
    <n v="12025"/>
    <x v="5"/>
  </r>
  <r>
    <s v="ORD008"/>
    <s v="2024-12-23"/>
    <x v="6"/>
    <n v="6"/>
    <n v="18710"/>
    <x v="3"/>
    <n v="112260"/>
    <x v="2"/>
  </r>
  <r>
    <s v="ORD009"/>
    <s v="2024-04-20"/>
    <x v="7"/>
    <n v="2"/>
    <n v="6578"/>
    <x v="2"/>
    <n v="13156"/>
    <x v="6"/>
  </r>
  <r>
    <s v="ORD010"/>
    <s v="2024-02-19"/>
    <x v="7"/>
    <n v="14"/>
    <n v="23041"/>
    <x v="0"/>
    <n v="322574"/>
    <x v="7"/>
  </r>
  <r>
    <s v="ORD011"/>
    <s v="2024-01-23"/>
    <x v="8"/>
    <n v="9"/>
    <n v="8680"/>
    <x v="2"/>
    <n v="78120"/>
    <x v="3"/>
  </r>
  <r>
    <s v="ORD012"/>
    <s v="2024-02-10"/>
    <x v="2"/>
    <n v="5"/>
    <n v="41698"/>
    <x v="0"/>
    <n v="208490"/>
    <x v="7"/>
  </r>
  <r>
    <s v="ORD013"/>
    <s v="2024-10-22"/>
    <x v="1"/>
    <n v="12"/>
    <n v="5058"/>
    <x v="1"/>
    <n v="60696"/>
    <x v="5"/>
  </r>
  <r>
    <s v="ORD014"/>
    <s v="2024-12-04"/>
    <x v="1"/>
    <n v="13"/>
    <n v="19465"/>
    <x v="1"/>
    <n v="253045"/>
    <x v="2"/>
  </r>
  <r>
    <s v="ORD015"/>
    <s v="2024-04-29"/>
    <x v="0"/>
    <n v="7"/>
    <n v="18717"/>
    <x v="2"/>
    <n v="131019"/>
    <x v="6"/>
  </r>
  <r>
    <s v="ORD016"/>
    <s v="2024-11-21"/>
    <x v="7"/>
    <n v="3"/>
    <n v="24760"/>
    <x v="0"/>
    <n v="74280"/>
    <x v="0"/>
  </r>
  <r>
    <s v="ORD017"/>
    <s v="2024-04-17"/>
    <x v="5"/>
    <n v="12"/>
    <n v="45296"/>
    <x v="1"/>
    <n v="543552"/>
    <x v="6"/>
  </r>
  <r>
    <s v="ORD018"/>
    <s v="2024-11-07"/>
    <x v="9"/>
    <n v="9"/>
    <n v="48284"/>
    <x v="3"/>
    <n v="434556"/>
    <x v="0"/>
  </r>
  <r>
    <s v="ORD019"/>
    <s v="2024-03-24"/>
    <x v="8"/>
    <n v="7"/>
    <n v="18191"/>
    <x v="3"/>
    <n v="127337"/>
    <x v="8"/>
  </r>
  <r>
    <s v="ORD020"/>
    <s v="2024-12-16"/>
    <x v="7"/>
    <n v="14"/>
    <n v="4165"/>
    <x v="3"/>
    <n v="58310"/>
    <x v="2"/>
  </r>
  <r>
    <s v="ORD021"/>
    <s v="2024-01-17"/>
    <x v="7"/>
    <n v="7"/>
    <n v="18046"/>
    <x v="1"/>
    <n v="126322"/>
    <x v="3"/>
  </r>
  <r>
    <s v="ORD022"/>
    <s v="2024-04-18"/>
    <x v="4"/>
    <n v="15"/>
    <n v="47549"/>
    <x v="0"/>
    <n v="713235"/>
    <x v="6"/>
  </r>
  <r>
    <s v="ORD023"/>
    <s v="2024-04-18"/>
    <x v="8"/>
    <n v="7"/>
    <n v="42629"/>
    <x v="2"/>
    <n v="298403"/>
    <x v="6"/>
  </r>
  <r>
    <s v="ORD024"/>
    <s v="2024-03-14"/>
    <x v="5"/>
    <n v="3"/>
    <n v="16662"/>
    <x v="0"/>
    <n v="49986"/>
    <x v="8"/>
  </r>
  <r>
    <s v="ORD025"/>
    <s v="2024-10-26"/>
    <x v="6"/>
    <n v="15"/>
    <n v="38742"/>
    <x v="2"/>
    <n v="581130"/>
    <x v="5"/>
  </r>
  <r>
    <s v="ORD026"/>
    <s v="2024-07-04"/>
    <x v="1"/>
    <n v="3"/>
    <n v="33892"/>
    <x v="2"/>
    <n v="101676"/>
    <x v="9"/>
  </r>
  <r>
    <s v="ORD027"/>
    <s v="2024-02-16"/>
    <x v="3"/>
    <n v="14"/>
    <n v="7685"/>
    <x v="3"/>
    <n v="107590"/>
    <x v="7"/>
  </r>
  <r>
    <s v="ORD028"/>
    <s v="2024-11-17"/>
    <x v="9"/>
    <n v="13"/>
    <n v="45096"/>
    <x v="2"/>
    <n v="586248"/>
    <x v="0"/>
  </r>
  <r>
    <s v="ORD029"/>
    <s v="2024-11-01"/>
    <x v="0"/>
    <n v="7"/>
    <n v="25509"/>
    <x v="2"/>
    <n v="178563"/>
    <x v="0"/>
  </r>
  <r>
    <s v="ORD030"/>
    <s v="2024-09-27"/>
    <x v="5"/>
    <n v="9"/>
    <n v="1252"/>
    <x v="1"/>
    <n v="11268"/>
    <x v="4"/>
  </r>
  <r>
    <s v="ORD031"/>
    <s v="2024-12-15"/>
    <x v="2"/>
    <n v="13"/>
    <n v="17986"/>
    <x v="0"/>
    <n v="233818"/>
    <x v="2"/>
  </r>
  <r>
    <s v="ORD032"/>
    <s v="2024-02-27"/>
    <x v="5"/>
    <n v="7"/>
    <n v="10865"/>
    <x v="2"/>
    <n v="76055"/>
    <x v="7"/>
  </r>
  <r>
    <s v="ORD033"/>
    <s v="2024-01-02"/>
    <x v="5"/>
    <n v="9"/>
    <n v="12208"/>
    <x v="1"/>
    <n v="109872"/>
    <x v="3"/>
  </r>
  <r>
    <s v="ORD034"/>
    <s v="2024-11-16"/>
    <x v="5"/>
    <n v="14"/>
    <n v="42374"/>
    <x v="3"/>
    <n v="593236"/>
    <x v="0"/>
  </r>
  <r>
    <s v="ORD035"/>
    <s v="2024-03-19"/>
    <x v="7"/>
    <n v="13"/>
    <n v="11087"/>
    <x v="1"/>
    <n v="144131"/>
    <x v="8"/>
  </r>
  <r>
    <s v="ORD036"/>
    <s v="2024-11-02"/>
    <x v="7"/>
    <n v="8"/>
    <n v="1776"/>
    <x v="1"/>
    <n v="14208"/>
    <x v="0"/>
  </r>
  <r>
    <s v="ORD037"/>
    <s v="2024-07-04"/>
    <x v="5"/>
    <n v="4"/>
    <n v="4296"/>
    <x v="3"/>
    <n v="17184"/>
    <x v="9"/>
  </r>
  <r>
    <s v="ORD038"/>
    <s v="2024-10-17"/>
    <x v="0"/>
    <n v="2"/>
    <n v="48466"/>
    <x v="2"/>
    <n v="96932"/>
    <x v="5"/>
  </r>
  <r>
    <s v="ORD039"/>
    <s v="2024-02-05"/>
    <x v="2"/>
    <n v="13"/>
    <n v="8741"/>
    <x v="3"/>
    <n v="113633"/>
    <x v="7"/>
  </r>
  <r>
    <s v="ORD040"/>
    <s v="2024-12-03"/>
    <x v="8"/>
    <n v="9"/>
    <n v="11321"/>
    <x v="0"/>
    <n v="101889"/>
    <x v="2"/>
  </r>
  <r>
    <s v="ORD041"/>
    <s v="2024-09-27"/>
    <x v="4"/>
    <n v="7"/>
    <n v="14380"/>
    <x v="3"/>
    <n v="100660"/>
    <x v="4"/>
  </r>
  <r>
    <s v="ORD042"/>
    <s v="2024-06-08"/>
    <x v="6"/>
    <n v="11"/>
    <n v="43090"/>
    <x v="0"/>
    <n v="473990"/>
    <x v="10"/>
  </r>
  <r>
    <s v="ORD043"/>
    <s v="2024-08-12"/>
    <x v="2"/>
    <n v="8"/>
    <n v="8430"/>
    <x v="3"/>
    <n v="67440"/>
    <x v="11"/>
  </r>
  <r>
    <s v="ORD044"/>
    <s v="2024-04-25"/>
    <x v="0"/>
    <n v="6"/>
    <n v="1878"/>
    <x v="3"/>
    <n v="11268"/>
    <x v="6"/>
  </r>
  <r>
    <s v="ORD045"/>
    <s v="2024-10-28"/>
    <x v="1"/>
    <n v="1"/>
    <n v="5152"/>
    <x v="1"/>
    <n v="5152"/>
    <x v="5"/>
  </r>
  <r>
    <s v="ORD046"/>
    <s v="2024-04-27"/>
    <x v="0"/>
    <n v="15"/>
    <n v="2558"/>
    <x v="0"/>
    <n v="38370"/>
    <x v="6"/>
  </r>
  <r>
    <s v="ORD047"/>
    <s v="2024-02-06"/>
    <x v="2"/>
    <n v="4"/>
    <n v="18750"/>
    <x v="2"/>
    <n v="75000"/>
    <x v="7"/>
  </r>
  <r>
    <s v="ORD048"/>
    <s v="2024-04-19"/>
    <x v="2"/>
    <n v="3"/>
    <n v="47905"/>
    <x v="2"/>
    <n v="143715"/>
    <x v="6"/>
  </r>
  <r>
    <s v="ORD049"/>
    <s v="2024-05-04"/>
    <x v="8"/>
    <n v="13"/>
    <n v="27177"/>
    <x v="3"/>
    <n v="353301"/>
    <x v="1"/>
  </r>
  <r>
    <s v="ORD050"/>
    <s v="2024-02-18"/>
    <x v="0"/>
    <n v="11"/>
    <n v="28749"/>
    <x v="0"/>
    <n v="316239"/>
    <x v="7"/>
  </r>
  <r>
    <s v="ORD051"/>
    <s v="2024-08-04"/>
    <x v="6"/>
    <n v="8"/>
    <n v="48280"/>
    <x v="1"/>
    <n v="386240"/>
    <x v="11"/>
  </r>
  <r>
    <s v="ORD052"/>
    <s v="2024-12-10"/>
    <x v="0"/>
    <n v="1"/>
    <n v="26886"/>
    <x v="0"/>
    <n v="26886"/>
    <x v="2"/>
  </r>
  <r>
    <s v="ORD053"/>
    <s v="2024-02-25"/>
    <x v="1"/>
    <n v="4"/>
    <n v="12965"/>
    <x v="2"/>
    <n v="51860"/>
    <x v="7"/>
  </r>
  <r>
    <s v="ORD054"/>
    <s v="2024-03-12"/>
    <x v="6"/>
    <n v="3"/>
    <n v="18754"/>
    <x v="2"/>
    <n v="56262"/>
    <x v="8"/>
  </r>
  <r>
    <s v="ORD055"/>
    <s v="2024-05-07"/>
    <x v="0"/>
    <n v="8"/>
    <n v="36566"/>
    <x v="1"/>
    <n v="292528"/>
    <x v="1"/>
  </r>
  <r>
    <s v="ORD056"/>
    <s v="2024-01-26"/>
    <x v="2"/>
    <n v="14"/>
    <n v="1467"/>
    <x v="1"/>
    <n v="20538"/>
    <x v="3"/>
  </r>
  <r>
    <s v="ORD057"/>
    <s v="2024-05-01"/>
    <x v="9"/>
    <n v="7"/>
    <n v="32326"/>
    <x v="2"/>
    <n v="226282"/>
    <x v="1"/>
  </r>
  <r>
    <s v="ORD058"/>
    <s v="2024-04-19"/>
    <x v="6"/>
    <n v="15"/>
    <n v="4342"/>
    <x v="3"/>
    <n v="65130"/>
    <x v="6"/>
  </r>
  <r>
    <s v="ORD059"/>
    <s v="2024-07-13"/>
    <x v="3"/>
    <n v="7"/>
    <n v="17880"/>
    <x v="2"/>
    <n v="125160"/>
    <x v="9"/>
  </r>
  <r>
    <s v="ORD060"/>
    <s v="2024-05-26"/>
    <x v="6"/>
    <n v="12"/>
    <n v="48374"/>
    <x v="2"/>
    <n v="580488"/>
    <x v="1"/>
  </r>
  <r>
    <s v="ORD061"/>
    <s v="2024-03-20"/>
    <x v="1"/>
    <n v="5"/>
    <n v="14767"/>
    <x v="1"/>
    <n v="73835"/>
    <x v="8"/>
  </r>
  <r>
    <s v="ORD062"/>
    <s v="2024-10-23"/>
    <x v="2"/>
    <n v="1"/>
    <n v="49519"/>
    <x v="0"/>
    <n v="49519"/>
    <x v="5"/>
  </r>
  <r>
    <s v="ORD063"/>
    <s v="2024-01-30"/>
    <x v="3"/>
    <n v="10"/>
    <n v="31746"/>
    <x v="3"/>
    <n v="317460"/>
    <x v="3"/>
  </r>
  <r>
    <s v="ORD064"/>
    <s v="2024-01-30"/>
    <x v="2"/>
    <n v="2"/>
    <n v="12678"/>
    <x v="1"/>
    <n v="25356"/>
    <x v="3"/>
  </r>
  <r>
    <s v="ORD065"/>
    <s v="2024-10-31"/>
    <x v="0"/>
    <n v="11"/>
    <n v="15914"/>
    <x v="2"/>
    <n v="175054"/>
    <x v="5"/>
  </r>
  <r>
    <s v="ORD066"/>
    <s v="2024-03-02"/>
    <x v="4"/>
    <n v="4"/>
    <n v="38440"/>
    <x v="1"/>
    <n v="153760"/>
    <x v="8"/>
  </r>
  <r>
    <s v="ORD067"/>
    <s v="2024-11-13"/>
    <x v="0"/>
    <n v="7"/>
    <n v="43581"/>
    <x v="0"/>
    <n v="305067"/>
    <x v="0"/>
  </r>
  <r>
    <s v="ORD068"/>
    <s v="2024-05-13"/>
    <x v="1"/>
    <n v="11"/>
    <n v="47436"/>
    <x v="0"/>
    <n v="521796"/>
    <x v="1"/>
  </r>
  <r>
    <s v="ORD069"/>
    <s v="2024-05-02"/>
    <x v="5"/>
    <n v="7"/>
    <n v="9077"/>
    <x v="0"/>
    <n v="63539"/>
    <x v="1"/>
  </r>
  <r>
    <s v="ORD070"/>
    <s v="2024-08-22"/>
    <x v="7"/>
    <n v="15"/>
    <n v="49774"/>
    <x v="1"/>
    <n v="746610"/>
    <x v="11"/>
  </r>
  <r>
    <s v="ORD071"/>
    <s v="2024-01-05"/>
    <x v="8"/>
    <n v="10"/>
    <n v="37396"/>
    <x v="1"/>
    <n v="373960"/>
    <x v="3"/>
  </r>
  <r>
    <s v="ORD072"/>
    <s v="2024-02-07"/>
    <x v="2"/>
    <n v="4"/>
    <n v="33653"/>
    <x v="0"/>
    <n v="134612"/>
    <x v="7"/>
  </r>
  <r>
    <s v="ORD073"/>
    <s v="2024-03-08"/>
    <x v="7"/>
    <n v="15"/>
    <n v="5008"/>
    <x v="3"/>
    <n v="75120"/>
    <x v="8"/>
  </r>
  <r>
    <s v="ORD074"/>
    <s v="2024-07-08"/>
    <x v="5"/>
    <n v="3"/>
    <n v="29216"/>
    <x v="0"/>
    <n v="87648"/>
    <x v="9"/>
  </r>
  <r>
    <s v="ORD075"/>
    <s v="2024-11-09"/>
    <x v="2"/>
    <n v="1"/>
    <n v="44269"/>
    <x v="0"/>
    <n v="44269"/>
    <x v="0"/>
  </r>
  <r>
    <s v="ORD076"/>
    <s v="2024-12-05"/>
    <x v="0"/>
    <n v="15"/>
    <n v="9300"/>
    <x v="0"/>
    <n v="139500"/>
    <x v="2"/>
  </r>
  <r>
    <s v="ORD077"/>
    <s v="2024-02-29"/>
    <x v="0"/>
    <n v="12"/>
    <n v="36756"/>
    <x v="3"/>
    <n v="441072"/>
    <x v="7"/>
  </r>
  <r>
    <s v="ORD078"/>
    <s v="2024-05-19"/>
    <x v="5"/>
    <n v="10"/>
    <n v="14303"/>
    <x v="0"/>
    <n v="143030"/>
    <x v="1"/>
  </r>
  <r>
    <s v="ORD079"/>
    <s v="2024-04-14"/>
    <x v="5"/>
    <n v="9"/>
    <n v="32516"/>
    <x v="0"/>
    <n v="292644"/>
    <x v="6"/>
  </r>
  <r>
    <s v="ORD080"/>
    <s v="2024-01-27"/>
    <x v="0"/>
    <n v="11"/>
    <n v="28259"/>
    <x v="0"/>
    <n v="310849"/>
    <x v="3"/>
  </r>
  <r>
    <s v="ORD081"/>
    <s v="2024-01-23"/>
    <x v="3"/>
    <n v="6"/>
    <n v="9073"/>
    <x v="0"/>
    <n v="54438"/>
    <x v="3"/>
  </r>
  <r>
    <s v="ORD082"/>
    <s v="2024-03-23"/>
    <x v="8"/>
    <n v="9"/>
    <n v="46746"/>
    <x v="2"/>
    <n v="420714"/>
    <x v="8"/>
  </r>
  <r>
    <s v="ORD083"/>
    <s v="2024-10-14"/>
    <x v="3"/>
    <n v="2"/>
    <n v="5431"/>
    <x v="3"/>
    <n v="10862"/>
    <x v="5"/>
  </r>
  <r>
    <s v="ORD084"/>
    <s v="2024-10-06"/>
    <x v="3"/>
    <n v="14"/>
    <n v="24696"/>
    <x v="3"/>
    <n v="345744"/>
    <x v="5"/>
  </r>
  <r>
    <s v="ORD085"/>
    <s v="2024-08-08"/>
    <x v="9"/>
    <n v="1"/>
    <n v="20702"/>
    <x v="0"/>
    <n v="20702"/>
    <x v="11"/>
  </r>
  <r>
    <s v="ORD086"/>
    <s v="2024-01-21"/>
    <x v="7"/>
    <n v="4"/>
    <n v="45199"/>
    <x v="3"/>
    <n v="180796"/>
    <x v="3"/>
  </r>
  <r>
    <s v="ORD087"/>
    <s v="2024-12-07"/>
    <x v="0"/>
    <n v="6"/>
    <n v="37192"/>
    <x v="2"/>
    <n v="223152"/>
    <x v="2"/>
  </r>
  <r>
    <s v="ORD088"/>
    <s v="2024-11-13"/>
    <x v="9"/>
    <n v="15"/>
    <n v="16014"/>
    <x v="3"/>
    <n v="240210"/>
    <x v="0"/>
  </r>
  <r>
    <s v="ORD089"/>
    <s v="2024-03-31"/>
    <x v="6"/>
    <n v="1"/>
    <n v="12254"/>
    <x v="0"/>
    <n v="12254"/>
    <x v="8"/>
  </r>
  <r>
    <s v="ORD090"/>
    <s v="2024-07-29"/>
    <x v="1"/>
    <n v="5"/>
    <n v="10933"/>
    <x v="1"/>
    <n v="54665"/>
    <x v="9"/>
  </r>
  <r>
    <s v="ORD091"/>
    <s v="2024-07-14"/>
    <x v="3"/>
    <n v="14"/>
    <n v="31347"/>
    <x v="3"/>
    <n v="438858"/>
    <x v="9"/>
  </r>
  <r>
    <s v="ORD092"/>
    <s v="2024-04-12"/>
    <x v="8"/>
    <n v="6"/>
    <n v="20500"/>
    <x v="3"/>
    <n v="123000"/>
    <x v="6"/>
  </r>
  <r>
    <s v="ORD093"/>
    <s v="2024-04-24"/>
    <x v="3"/>
    <n v="11"/>
    <n v="13156"/>
    <x v="2"/>
    <n v="144716"/>
    <x v="6"/>
  </r>
  <r>
    <s v="ORD094"/>
    <s v="2024-06-17"/>
    <x v="5"/>
    <n v="14"/>
    <n v="5049"/>
    <x v="0"/>
    <n v="70686"/>
    <x v="10"/>
  </r>
  <r>
    <s v="ORD095"/>
    <s v="2024-06-28"/>
    <x v="2"/>
    <n v="7"/>
    <n v="45032"/>
    <x v="0"/>
    <n v="315224"/>
    <x v="10"/>
  </r>
  <r>
    <s v="ORD096"/>
    <s v="2024-01-15"/>
    <x v="0"/>
    <n v="15"/>
    <n v="17618"/>
    <x v="3"/>
    <n v="264270"/>
    <x v="3"/>
  </r>
  <r>
    <s v="ORD097"/>
    <s v="2024-10-24"/>
    <x v="5"/>
    <n v="1"/>
    <n v="7604"/>
    <x v="2"/>
    <n v="7604"/>
    <x v="5"/>
  </r>
  <r>
    <s v="ORD098"/>
    <s v="2024-06-25"/>
    <x v="7"/>
    <n v="7"/>
    <n v="40228"/>
    <x v="1"/>
    <n v="281596"/>
    <x v="10"/>
  </r>
  <r>
    <s v="ORD099"/>
    <s v="2024-07-16"/>
    <x v="4"/>
    <n v="4"/>
    <n v="17193"/>
    <x v="1"/>
    <n v="68772"/>
    <x v="9"/>
  </r>
  <r>
    <s v="ORD100"/>
    <s v="2024-12-28"/>
    <x v="6"/>
    <n v="1"/>
    <n v="34573"/>
    <x v="3"/>
    <n v="34573"/>
    <x v="2"/>
  </r>
  <r>
    <s v="ORD101"/>
    <s v="2024-07-05"/>
    <x v="6"/>
    <n v="2"/>
    <n v="44031"/>
    <x v="0"/>
    <n v="88062"/>
    <x v="9"/>
  </r>
  <r>
    <s v="ORD102"/>
    <s v="2024-11-15"/>
    <x v="7"/>
    <n v="11"/>
    <n v="8667"/>
    <x v="0"/>
    <n v="95337"/>
    <x v="0"/>
  </r>
  <r>
    <s v="ORD103"/>
    <s v="2024-09-16"/>
    <x v="5"/>
    <n v="11"/>
    <n v="27264"/>
    <x v="0"/>
    <n v="299904"/>
    <x v="4"/>
  </r>
  <r>
    <s v="ORD104"/>
    <s v="2024-07-25"/>
    <x v="5"/>
    <n v="9"/>
    <n v="8841"/>
    <x v="3"/>
    <n v="79569"/>
    <x v="9"/>
  </r>
  <r>
    <s v="ORD105"/>
    <s v="2024-08-03"/>
    <x v="6"/>
    <n v="11"/>
    <n v="49529"/>
    <x v="3"/>
    <n v="544819"/>
    <x v="11"/>
  </r>
  <r>
    <s v="ORD106"/>
    <s v="2024-11-11"/>
    <x v="4"/>
    <n v="5"/>
    <n v="27112"/>
    <x v="1"/>
    <n v="135560"/>
    <x v="0"/>
  </r>
  <r>
    <s v="ORD107"/>
    <s v="2024-06-04"/>
    <x v="5"/>
    <n v="4"/>
    <n v="28673"/>
    <x v="0"/>
    <n v="114692"/>
    <x v="10"/>
  </r>
  <r>
    <s v="ORD108"/>
    <s v="2024-08-26"/>
    <x v="8"/>
    <n v="8"/>
    <n v="44777"/>
    <x v="3"/>
    <n v="358216"/>
    <x v="11"/>
  </r>
  <r>
    <s v="ORD109"/>
    <s v="2024-09-18"/>
    <x v="8"/>
    <n v="13"/>
    <n v="48731"/>
    <x v="3"/>
    <n v="633503"/>
    <x v="4"/>
  </r>
  <r>
    <s v="ORD110"/>
    <s v="2024-12-03"/>
    <x v="0"/>
    <n v="5"/>
    <n v="34280"/>
    <x v="0"/>
    <n v="171400"/>
    <x v="2"/>
  </r>
  <r>
    <s v="ORD111"/>
    <s v="2024-02-17"/>
    <x v="1"/>
    <n v="11"/>
    <n v="20843"/>
    <x v="3"/>
    <n v="229273"/>
    <x v="7"/>
  </r>
  <r>
    <s v="ORD112"/>
    <s v="2024-04-11"/>
    <x v="9"/>
    <n v="1"/>
    <n v="3528"/>
    <x v="3"/>
    <n v="3528"/>
    <x v="6"/>
  </r>
  <r>
    <s v="ORD113"/>
    <s v="2024-08-31"/>
    <x v="4"/>
    <n v="14"/>
    <n v="5272"/>
    <x v="2"/>
    <n v="73808"/>
    <x v="11"/>
  </r>
  <r>
    <s v="ORD114"/>
    <s v="2024-07-31"/>
    <x v="4"/>
    <n v="4"/>
    <n v="47577"/>
    <x v="2"/>
    <n v="190308"/>
    <x v="9"/>
  </r>
  <r>
    <s v="ORD115"/>
    <s v="2024-09-10"/>
    <x v="6"/>
    <n v="4"/>
    <n v="10171"/>
    <x v="1"/>
    <n v="40684"/>
    <x v="4"/>
  </r>
  <r>
    <s v="ORD116"/>
    <s v="2024-02-24"/>
    <x v="6"/>
    <n v="4"/>
    <n v="12026"/>
    <x v="2"/>
    <n v="48104"/>
    <x v="7"/>
  </r>
  <r>
    <s v="ORD117"/>
    <s v="2024-01-26"/>
    <x v="2"/>
    <n v="4"/>
    <n v="8453"/>
    <x v="2"/>
    <n v="33812"/>
    <x v="3"/>
  </r>
  <r>
    <s v="ORD118"/>
    <s v="2024-03-09"/>
    <x v="8"/>
    <n v="11"/>
    <n v="35308"/>
    <x v="0"/>
    <n v="388388"/>
    <x v="8"/>
  </r>
  <r>
    <s v="ORD119"/>
    <s v="2024-08-14"/>
    <x v="4"/>
    <n v="14"/>
    <n v="47638"/>
    <x v="2"/>
    <n v="666932"/>
    <x v="11"/>
  </r>
  <r>
    <s v="ORD120"/>
    <s v="2024-10-07"/>
    <x v="8"/>
    <n v="15"/>
    <n v="10930"/>
    <x v="2"/>
    <n v="163950"/>
    <x v="5"/>
  </r>
  <r>
    <s v="ORD121"/>
    <s v="2024-08-18"/>
    <x v="5"/>
    <n v="13"/>
    <n v="16703"/>
    <x v="0"/>
    <n v="217139"/>
    <x v="11"/>
  </r>
  <r>
    <s v="ORD122"/>
    <s v="2024-09-23"/>
    <x v="8"/>
    <n v="11"/>
    <n v="16179"/>
    <x v="0"/>
    <n v="177969"/>
    <x v="4"/>
  </r>
  <r>
    <s v="ORD123"/>
    <s v="2024-08-13"/>
    <x v="0"/>
    <n v="12"/>
    <n v="19225"/>
    <x v="3"/>
    <n v="230700"/>
    <x v="11"/>
  </r>
  <r>
    <s v="ORD124"/>
    <s v="2024-05-19"/>
    <x v="7"/>
    <n v="6"/>
    <n v="35899"/>
    <x v="1"/>
    <n v="215394"/>
    <x v="1"/>
  </r>
  <r>
    <s v="ORD125"/>
    <s v="2024-03-11"/>
    <x v="9"/>
    <n v="4"/>
    <n v="25602"/>
    <x v="3"/>
    <n v="102408"/>
    <x v="8"/>
  </r>
  <r>
    <s v="ORD126"/>
    <s v="2024-12-27"/>
    <x v="1"/>
    <n v="2"/>
    <n v="27688"/>
    <x v="2"/>
    <n v="55376"/>
    <x v="2"/>
  </r>
  <r>
    <s v="ORD127"/>
    <s v="2024-06-18"/>
    <x v="2"/>
    <n v="8"/>
    <n v="27748"/>
    <x v="1"/>
    <n v="221984"/>
    <x v="10"/>
  </r>
  <r>
    <s v="ORD128"/>
    <s v="2024-04-15"/>
    <x v="6"/>
    <n v="7"/>
    <n v="38778"/>
    <x v="1"/>
    <n v="271446"/>
    <x v="6"/>
  </r>
  <r>
    <s v="ORD129"/>
    <s v="2024-10-21"/>
    <x v="6"/>
    <n v="8"/>
    <n v="886"/>
    <x v="0"/>
    <n v="7088"/>
    <x v="5"/>
  </r>
  <r>
    <s v="ORD130"/>
    <s v="2024-06-01"/>
    <x v="6"/>
    <n v="14"/>
    <n v="27960"/>
    <x v="3"/>
    <n v="391440"/>
    <x v="10"/>
  </r>
  <r>
    <s v="ORD131"/>
    <s v="2024-09-06"/>
    <x v="1"/>
    <n v="5"/>
    <n v="29062"/>
    <x v="2"/>
    <n v="145310"/>
    <x v="4"/>
  </r>
  <r>
    <s v="ORD132"/>
    <s v="2024-01-15"/>
    <x v="6"/>
    <n v="6"/>
    <n v="44335"/>
    <x v="2"/>
    <n v="266010"/>
    <x v="3"/>
  </r>
  <r>
    <s v="ORD133"/>
    <s v="2024-03-25"/>
    <x v="8"/>
    <n v="15"/>
    <n v="8864"/>
    <x v="1"/>
    <n v="132960"/>
    <x v="8"/>
  </r>
  <r>
    <s v="ORD134"/>
    <s v="2024-07-20"/>
    <x v="4"/>
    <n v="10"/>
    <n v="43950"/>
    <x v="1"/>
    <n v="439500"/>
    <x v="9"/>
  </r>
  <r>
    <s v="ORD135"/>
    <s v="2024-02-12"/>
    <x v="6"/>
    <n v="3"/>
    <n v="30757"/>
    <x v="3"/>
    <n v="92271"/>
    <x v="7"/>
  </r>
  <r>
    <s v="ORD136"/>
    <s v="2024-01-26"/>
    <x v="5"/>
    <n v="7"/>
    <n v="21953"/>
    <x v="3"/>
    <n v="153671"/>
    <x v="3"/>
  </r>
  <r>
    <s v="ORD137"/>
    <s v="2024-08-20"/>
    <x v="7"/>
    <n v="6"/>
    <n v="25346"/>
    <x v="0"/>
    <n v="152076"/>
    <x v="11"/>
  </r>
  <r>
    <s v="ORD138"/>
    <s v="2024-08-03"/>
    <x v="5"/>
    <n v="14"/>
    <n v="5867"/>
    <x v="2"/>
    <n v="82138"/>
    <x v="11"/>
  </r>
  <r>
    <s v="ORD139"/>
    <s v="2024-01-10"/>
    <x v="2"/>
    <n v="1"/>
    <n v="23435"/>
    <x v="3"/>
    <n v="23435"/>
    <x v="3"/>
  </r>
  <r>
    <s v="ORD140"/>
    <s v="2024-11-28"/>
    <x v="0"/>
    <n v="13"/>
    <n v="43213"/>
    <x v="1"/>
    <n v="561769"/>
    <x v="0"/>
  </r>
  <r>
    <s v="ORD141"/>
    <s v="2024-01-16"/>
    <x v="1"/>
    <n v="4"/>
    <n v="1835"/>
    <x v="3"/>
    <n v="7340"/>
    <x v="3"/>
  </r>
  <r>
    <s v="ORD142"/>
    <s v="2024-05-02"/>
    <x v="9"/>
    <n v="8"/>
    <n v="44373"/>
    <x v="1"/>
    <n v="354984"/>
    <x v="1"/>
  </r>
  <r>
    <s v="ORD143"/>
    <s v="2024-10-15"/>
    <x v="1"/>
    <n v="8"/>
    <n v="46340"/>
    <x v="0"/>
    <n v="370720"/>
    <x v="5"/>
  </r>
  <r>
    <s v="ORD144"/>
    <s v="2024-07-07"/>
    <x v="9"/>
    <n v="10"/>
    <n v="40296"/>
    <x v="1"/>
    <n v="402960"/>
    <x v="9"/>
  </r>
  <r>
    <s v="ORD145"/>
    <s v="2024-03-24"/>
    <x v="5"/>
    <n v="2"/>
    <n v="38424"/>
    <x v="1"/>
    <n v="76848"/>
    <x v="8"/>
  </r>
  <r>
    <s v="ORD146"/>
    <s v="2024-06-08"/>
    <x v="4"/>
    <n v="11"/>
    <n v="25096"/>
    <x v="2"/>
    <n v="276056"/>
    <x v="10"/>
  </r>
  <r>
    <s v="ORD147"/>
    <s v="2024-04-11"/>
    <x v="0"/>
    <n v="10"/>
    <n v="45760"/>
    <x v="3"/>
    <n v="457600"/>
    <x v="6"/>
  </r>
  <r>
    <s v="ORD148"/>
    <s v="2024-02-22"/>
    <x v="5"/>
    <n v="14"/>
    <n v="45343"/>
    <x v="1"/>
    <n v="634802"/>
    <x v="7"/>
  </r>
  <r>
    <s v="ORD149"/>
    <s v="2024-10-16"/>
    <x v="3"/>
    <n v="6"/>
    <n v="35413"/>
    <x v="2"/>
    <n v="212478"/>
    <x v="5"/>
  </r>
  <r>
    <s v="ORD150"/>
    <s v="2024-12-04"/>
    <x v="7"/>
    <n v="2"/>
    <n v="33658"/>
    <x v="0"/>
    <n v="67316"/>
    <x v="2"/>
  </r>
  <r>
    <s v="ORD151"/>
    <s v="2024-01-07"/>
    <x v="6"/>
    <n v="14"/>
    <n v="32625"/>
    <x v="1"/>
    <n v="456750"/>
    <x v="3"/>
  </r>
  <r>
    <s v="ORD152"/>
    <s v="2024-08-09"/>
    <x v="7"/>
    <n v="11"/>
    <n v="30629"/>
    <x v="3"/>
    <n v="336919"/>
    <x v="11"/>
  </r>
  <r>
    <s v="ORD153"/>
    <s v="2024-08-10"/>
    <x v="9"/>
    <n v="12"/>
    <n v="34693"/>
    <x v="0"/>
    <n v="416316"/>
    <x v="11"/>
  </r>
  <r>
    <s v="ORD154"/>
    <s v="2024-11-11"/>
    <x v="2"/>
    <n v="13"/>
    <n v="32186"/>
    <x v="2"/>
    <n v="418418"/>
    <x v="0"/>
  </r>
  <r>
    <s v="ORD155"/>
    <s v="2024-08-11"/>
    <x v="4"/>
    <n v="5"/>
    <n v="21622"/>
    <x v="3"/>
    <n v="108110"/>
    <x v="11"/>
  </r>
  <r>
    <s v="ORD156"/>
    <s v="2024-02-14"/>
    <x v="5"/>
    <n v="15"/>
    <n v="30043"/>
    <x v="3"/>
    <n v="450645"/>
    <x v="7"/>
  </r>
  <r>
    <s v="ORD157"/>
    <s v="2024-08-25"/>
    <x v="4"/>
    <n v="10"/>
    <n v="44290"/>
    <x v="2"/>
    <n v="442900"/>
    <x v="11"/>
  </r>
  <r>
    <s v="ORD158"/>
    <s v="2024-06-21"/>
    <x v="3"/>
    <n v="8"/>
    <n v="21800"/>
    <x v="3"/>
    <n v="174400"/>
    <x v="10"/>
  </r>
  <r>
    <s v="ORD159"/>
    <s v="2024-09-06"/>
    <x v="1"/>
    <n v="6"/>
    <n v="17431"/>
    <x v="0"/>
    <n v="104586"/>
    <x v="4"/>
  </r>
  <r>
    <s v="ORD160"/>
    <s v="2024-05-23"/>
    <x v="4"/>
    <n v="12"/>
    <n v="18605"/>
    <x v="1"/>
    <n v="223260"/>
    <x v="1"/>
  </r>
  <r>
    <s v="ORD161"/>
    <s v="2024-09-21"/>
    <x v="1"/>
    <n v="2"/>
    <n v="16317"/>
    <x v="2"/>
    <n v="32634"/>
    <x v="4"/>
  </r>
  <r>
    <s v="ORD162"/>
    <s v="2024-09-07"/>
    <x v="2"/>
    <n v="13"/>
    <n v="16249"/>
    <x v="2"/>
    <n v="211237"/>
    <x v="4"/>
  </r>
  <r>
    <s v="ORD163"/>
    <s v="2024-11-26"/>
    <x v="8"/>
    <n v="8"/>
    <n v="1630"/>
    <x v="1"/>
    <n v="13040"/>
    <x v="0"/>
  </r>
  <r>
    <s v="ORD164"/>
    <s v="2024-05-30"/>
    <x v="1"/>
    <n v="7"/>
    <n v="45836"/>
    <x v="3"/>
    <n v="320852"/>
    <x v="1"/>
  </r>
  <r>
    <s v="ORD165"/>
    <s v="2024-06-05"/>
    <x v="4"/>
    <n v="6"/>
    <n v="31515"/>
    <x v="0"/>
    <n v="189090"/>
    <x v="10"/>
  </r>
  <r>
    <s v="ORD166"/>
    <s v="2024-08-05"/>
    <x v="2"/>
    <n v="6"/>
    <n v="23556"/>
    <x v="2"/>
    <n v="141336"/>
    <x v="11"/>
  </r>
  <r>
    <s v="ORD167"/>
    <s v="2024-05-18"/>
    <x v="5"/>
    <n v="5"/>
    <n v="15608"/>
    <x v="1"/>
    <n v="78040"/>
    <x v="1"/>
  </r>
  <r>
    <s v="ORD168"/>
    <s v="2024-04-08"/>
    <x v="7"/>
    <n v="2"/>
    <n v="49185"/>
    <x v="3"/>
    <n v="98370"/>
    <x v="6"/>
  </r>
  <r>
    <s v="ORD169"/>
    <s v="2024-04-08"/>
    <x v="1"/>
    <n v="12"/>
    <n v="32232"/>
    <x v="0"/>
    <n v="386784"/>
    <x v="6"/>
  </r>
  <r>
    <s v="ORD170"/>
    <s v="2024-10-28"/>
    <x v="2"/>
    <n v="10"/>
    <n v="19046"/>
    <x v="1"/>
    <n v="190460"/>
    <x v="5"/>
  </r>
  <r>
    <s v="ORD171"/>
    <s v="2024-04-09"/>
    <x v="5"/>
    <n v="4"/>
    <n v="24150"/>
    <x v="3"/>
    <n v="96600"/>
    <x v="6"/>
  </r>
  <r>
    <s v="ORD172"/>
    <s v="2024-06-03"/>
    <x v="3"/>
    <n v="12"/>
    <n v="35505"/>
    <x v="3"/>
    <n v="426060"/>
    <x v="10"/>
  </r>
  <r>
    <s v="ORD173"/>
    <s v="2024-05-20"/>
    <x v="3"/>
    <n v="1"/>
    <n v="36764"/>
    <x v="0"/>
    <n v="36764"/>
    <x v="1"/>
  </r>
  <r>
    <s v="ORD174"/>
    <s v="2024-12-23"/>
    <x v="9"/>
    <n v="11"/>
    <n v="49834"/>
    <x v="2"/>
    <n v="548174"/>
    <x v="2"/>
  </r>
  <r>
    <s v="ORD175"/>
    <s v="2024-02-22"/>
    <x v="3"/>
    <n v="10"/>
    <n v="19134"/>
    <x v="2"/>
    <n v="191340"/>
    <x v="7"/>
  </r>
  <r>
    <s v="ORD176"/>
    <s v="2024-09-02"/>
    <x v="8"/>
    <n v="6"/>
    <n v="12582"/>
    <x v="1"/>
    <n v="75492"/>
    <x v="4"/>
  </r>
  <r>
    <s v="ORD177"/>
    <s v="2024-05-09"/>
    <x v="8"/>
    <n v="2"/>
    <n v="4782"/>
    <x v="2"/>
    <n v="9564"/>
    <x v="1"/>
  </r>
  <r>
    <s v="ORD178"/>
    <s v="2024-09-08"/>
    <x v="0"/>
    <n v="10"/>
    <n v="41751"/>
    <x v="1"/>
    <n v="417510"/>
    <x v="4"/>
  </r>
  <r>
    <s v="ORD179"/>
    <s v="2024-03-18"/>
    <x v="9"/>
    <n v="13"/>
    <n v="37386"/>
    <x v="0"/>
    <n v="486018"/>
    <x v="8"/>
  </r>
  <r>
    <s v="ORD180"/>
    <s v="2024-02-13"/>
    <x v="1"/>
    <n v="2"/>
    <n v="37073"/>
    <x v="2"/>
    <n v="74146"/>
    <x v="7"/>
  </r>
  <r>
    <s v="ORD181"/>
    <s v="2024-11-06"/>
    <x v="4"/>
    <n v="13"/>
    <n v="41028"/>
    <x v="3"/>
    <n v="533364"/>
    <x v="0"/>
  </r>
  <r>
    <s v="ORD182"/>
    <s v="2024-09-24"/>
    <x v="6"/>
    <n v="8"/>
    <n v="29514"/>
    <x v="0"/>
    <n v="236112"/>
    <x v="4"/>
  </r>
  <r>
    <s v="ORD183"/>
    <s v="2024-10-28"/>
    <x v="6"/>
    <n v="5"/>
    <n v="37765"/>
    <x v="1"/>
    <n v="188825"/>
    <x v="5"/>
  </r>
  <r>
    <s v="ORD184"/>
    <s v="2024-11-08"/>
    <x v="0"/>
    <n v="13"/>
    <n v="14117"/>
    <x v="3"/>
    <n v="183521"/>
    <x v="0"/>
  </r>
  <r>
    <s v="ORD185"/>
    <s v="2024-05-15"/>
    <x v="0"/>
    <n v="3"/>
    <n v="16219"/>
    <x v="3"/>
    <n v="48657"/>
    <x v="1"/>
  </r>
  <r>
    <s v="ORD186"/>
    <s v="2024-10-09"/>
    <x v="0"/>
    <n v="3"/>
    <n v="675"/>
    <x v="2"/>
    <n v="2025"/>
    <x v="5"/>
  </r>
  <r>
    <s v="ORD187"/>
    <s v="2024-08-18"/>
    <x v="4"/>
    <n v="8"/>
    <n v="19587"/>
    <x v="1"/>
    <n v="156696"/>
    <x v="11"/>
  </r>
  <r>
    <s v="ORD188"/>
    <s v="2024-04-28"/>
    <x v="5"/>
    <n v="12"/>
    <n v="19028"/>
    <x v="2"/>
    <n v="228336"/>
    <x v="6"/>
  </r>
  <r>
    <s v="ORD189"/>
    <s v="2024-02-06"/>
    <x v="1"/>
    <n v="15"/>
    <n v="17837"/>
    <x v="3"/>
    <n v="267555"/>
    <x v="7"/>
  </r>
  <r>
    <s v="ORD190"/>
    <s v="2024-08-05"/>
    <x v="0"/>
    <n v="9"/>
    <n v="15233"/>
    <x v="3"/>
    <n v="137097"/>
    <x v="11"/>
  </r>
  <r>
    <s v="ORD191"/>
    <s v="2024-05-16"/>
    <x v="9"/>
    <n v="2"/>
    <n v="4408"/>
    <x v="3"/>
    <n v="8816"/>
    <x v="1"/>
  </r>
  <r>
    <s v="ORD192"/>
    <s v="2024-06-06"/>
    <x v="4"/>
    <n v="12"/>
    <n v="37803"/>
    <x v="0"/>
    <n v="453636"/>
    <x v="10"/>
  </r>
  <r>
    <s v="ORD193"/>
    <s v="2024-08-12"/>
    <x v="0"/>
    <n v="8"/>
    <n v="45633"/>
    <x v="0"/>
    <n v="365064"/>
    <x v="11"/>
  </r>
  <r>
    <s v="ORD194"/>
    <s v="2024-12-24"/>
    <x v="6"/>
    <n v="5"/>
    <n v="33298"/>
    <x v="2"/>
    <n v="166490"/>
    <x v="2"/>
  </r>
  <r>
    <s v="ORD195"/>
    <s v="2024-08-12"/>
    <x v="0"/>
    <n v="10"/>
    <n v="3112"/>
    <x v="2"/>
    <n v="31120"/>
    <x v="11"/>
  </r>
  <r>
    <s v="ORD196"/>
    <s v="2024-06-14"/>
    <x v="4"/>
    <n v="5"/>
    <n v="2195"/>
    <x v="1"/>
    <n v="10975"/>
    <x v="10"/>
  </r>
  <r>
    <s v="ORD197"/>
    <s v="2024-04-27"/>
    <x v="4"/>
    <n v="10"/>
    <n v="1859"/>
    <x v="0"/>
    <n v="18590"/>
    <x v="6"/>
  </r>
  <r>
    <s v="ORD198"/>
    <s v="2024-10-22"/>
    <x v="3"/>
    <n v="13"/>
    <n v="11981"/>
    <x v="2"/>
    <n v="155753"/>
    <x v="5"/>
  </r>
  <r>
    <s v="ORD199"/>
    <s v="2024-09-22"/>
    <x v="8"/>
    <n v="15"/>
    <n v="18729"/>
    <x v="3"/>
    <n v="280935"/>
    <x v="4"/>
  </r>
  <r>
    <s v="ORD200"/>
    <s v="2024-10-26"/>
    <x v="6"/>
    <n v="11"/>
    <n v="32725"/>
    <x v="1"/>
    <n v="35997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29D5E-35C2-45F6-A784-870AF6F3DAC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0:E15" firstHeaderRow="1" firstDataRow="1" firstDataCol="1"/>
  <pivotFields count="8">
    <pivotField showAll="0"/>
    <pivotField showAll="0"/>
    <pivotField showAll="0">
      <items count="11">
        <item x="2"/>
        <item x="8"/>
        <item x="9"/>
        <item x="3"/>
        <item x="1"/>
        <item x="0"/>
        <item x="6"/>
        <item x="5"/>
        <item x="4"/>
        <item x="7"/>
        <item t="default"/>
      </items>
    </pivotField>
    <pivotField showAll="0"/>
    <pivotField showAll="0"/>
    <pivotField axis="axisRow" showAll="0">
      <items count="5">
        <item x="0"/>
        <item x="1"/>
        <item x="3"/>
        <item x="2"/>
        <item t="default"/>
      </items>
    </pivotField>
    <pivotField dataField="1" showAll="0"/>
    <pivotField showAll="0" sortType="descending">
      <items count="13">
        <item x="6"/>
        <item x="11"/>
        <item x="2"/>
        <item x="7"/>
        <item x="3"/>
        <item x="9"/>
        <item x="10"/>
        <item x="8"/>
        <item x="1"/>
        <item x="0"/>
        <item x="5"/>
        <item x="4"/>
        <item t="default"/>
      </items>
      <autoSortScope>
        <pivotArea dataOnly="0" outline="0" fieldPosition="0">
          <references count="1">
            <reference field="4294967294" count="1" selected="0">
              <x v="0"/>
            </reference>
          </references>
        </pivotArea>
      </autoSortScope>
    </pivotField>
  </pivotFields>
  <rowFields count="1">
    <field x="5"/>
  </rowFields>
  <rowItems count="5">
    <i>
      <x/>
    </i>
    <i>
      <x v="1"/>
    </i>
    <i>
      <x v="2"/>
    </i>
    <i>
      <x v="3"/>
    </i>
    <i t="grand">
      <x/>
    </i>
  </rowItems>
  <colItems count="1">
    <i/>
  </colItems>
  <dataFields count="1">
    <dataField name="Sum of Sales" fld="6"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B5C17-4570-47D6-8281-3FB0EFCEFF70}" name="Monthly Sal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8">
    <pivotField showAll="0"/>
    <pivotField showAll="0"/>
    <pivotField showAll="0">
      <items count="11">
        <item x="2"/>
        <item x="8"/>
        <item x="9"/>
        <item x="3"/>
        <item x="1"/>
        <item x="0"/>
        <item x="6"/>
        <item x="5"/>
        <item x="4"/>
        <item x="7"/>
        <item t="default"/>
      </items>
    </pivotField>
    <pivotField showAll="0"/>
    <pivotField showAll="0"/>
    <pivotField showAll="0">
      <items count="5">
        <item x="0"/>
        <item x="1"/>
        <item x="3"/>
        <item x="2"/>
        <item t="default"/>
      </items>
    </pivotField>
    <pivotField dataField="1" showAll="0"/>
    <pivotField axis="axisRow" showAll="0" sortType="ascending">
      <items count="13">
        <item x="6"/>
        <item x="11"/>
        <item x="2"/>
        <item x="7"/>
        <item x="3"/>
        <item x="9"/>
        <item x="10"/>
        <item x="8"/>
        <item x="1"/>
        <item x="0"/>
        <item x="5"/>
        <item x="4"/>
        <item t="default"/>
      </items>
      <autoSortScope>
        <pivotArea dataOnly="0" outline="0" fieldPosition="0">
          <references count="1">
            <reference field="4294967294" count="1" selected="0">
              <x v="0"/>
            </reference>
          </references>
        </pivotArea>
      </autoSortScope>
    </pivotField>
  </pivotFields>
  <rowFields count="1">
    <field x="7"/>
  </rowFields>
  <rowItems count="13">
    <i>
      <x v="5"/>
    </i>
    <i>
      <x v="2"/>
    </i>
    <i>
      <x v="7"/>
    </i>
    <i>
      <x v="11"/>
    </i>
    <i>
      <x v="4"/>
    </i>
    <i>
      <x v="10"/>
    </i>
    <i>
      <x v="6"/>
    </i>
    <i>
      <x v="8"/>
    </i>
    <i>
      <x v="3"/>
    </i>
    <i>
      <x/>
    </i>
    <i>
      <x v="9"/>
    </i>
    <i>
      <x v="1"/>
    </i>
    <i t="grand">
      <x/>
    </i>
  </rowItems>
  <colItems count="1">
    <i/>
  </colItems>
  <dataFields count="1">
    <dataField name="Sum of Sales" fld="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5E934FC-8780-4F67-9851-CFBF91B77B87}" sourceName="Product">
  <pivotTables>
    <pivotTable tabId="2" name="Monthly Sales"/>
    <pivotTable tabId="2" name="PivotTable2"/>
  </pivotTables>
  <data>
    <tabular pivotCacheId="1715813229" sortOrder="descending">
      <items count="10">
        <i x="7" s="1"/>
        <i x="4" s="1"/>
        <i x="5" s="1"/>
        <i x="6" s="1"/>
        <i x="0" s="1"/>
        <i x="1" s="1"/>
        <i x="3" s="1"/>
        <i x="9" s="1"/>
        <i x="8"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70A509-8F7C-42B4-9134-3C5C86B60CCC}" sourceName="Region">
  <pivotTables>
    <pivotTable tabId="2" name="Monthly Sales"/>
    <pivotTable tabId="2" name="PivotTable2"/>
  </pivotTables>
  <data>
    <tabular pivotCacheId="171581322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9A8137-7563-4E88-A50B-74D06D458DA5}" sourceName="Month">
  <pivotTables>
    <pivotTable tabId="2" name="Monthly Sales"/>
    <pivotTable tabId="2" name="PivotTable2"/>
  </pivotTables>
  <data>
    <tabular pivotCacheId="1715813229">
      <items count="12">
        <i x="6" s="1"/>
        <i x="11" s="1"/>
        <i x="2" s="1"/>
        <i x="7" s="1"/>
        <i x="3" s="1"/>
        <i x="9" s="1"/>
        <i x="10" s="1"/>
        <i x="8" s="1"/>
        <i x="1"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FDAB231-AFD5-47DC-8E08-F1B3C7EE0B46}" cache="Slicer_Product" caption="Product" startItem="6" columnCount="2" style="SlicerStyleDark4" rowHeight="234950"/>
  <slicer name="Region" xr10:uid="{DE5F8330-EE86-42F7-A53B-D8B1060C7598}" cache="Slicer_Region" caption="Region" columnCount="2" style="SlicerStyleDark4" rowHeight="234950"/>
  <slicer name="Month" xr10:uid="{26646999-2C33-4D7E-9D1B-360705666777}" cache="Slicer_Month" caption="Month" startItem="8" columnCount="2"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24676-4FDF-43DA-97DB-B02176DB7702}" name="Table3" displayName="Table3" ref="A1:H201" totalsRowShown="0" headerRowDxfId="4" headerRowBorderDxfId="3" tableBorderDxfId="2">
  <autoFilter ref="A1:H201" xr:uid="{34F24676-4FDF-43DA-97DB-B02176DB7702}"/>
  <tableColumns count="8">
    <tableColumn id="1" xr3:uid="{D346484B-ABC5-4038-B125-32F52B88730C}" name="Order_ID"/>
    <tableColumn id="2" xr3:uid="{A5A717B9-885C-4AFC-89F3-26E5C642990A}" name="Date"/>
    <tableColumn id="3" xr3:uid="{5B9BDB7E-9FEC-412D-A718-638E5B691931}" name="Product"/>
    <tableColumn id="4" xr3:uid="{D5BFE4F9-9146-462A-862E-77698A6CB692}" name="Quantity"/>
    <tableColumn id="5" xr3:uid="{D03D6BB2-A865-428E-B592-E7291D020FFB}" name="Price" dataDxfId="1"/>
    <tableColumn id="6" xr3:uid="{740907D5-53CA-4311-AA41-A4EA24FD91ED}" name="Region"/>
    <tableColumn id="7" xr3:uid="{AD806023-A756-451C-B0F6-0A1F50838646}" name="Sales">
      <calculatedColumnFormula>E2*D2</calculatedColumnFormula>
    </tableColumn>
    <tableColumn id="8" xr3:uid="{4A011497-DF46-4653-871F-DC9318D47A8B}" name="Month" dataDxfId="0">
      <calculatedColumnFormula>TEXT(B2,"mmm-yyyy")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FF27-A916-45A8-A1BD-B21053F2B30A}">
  <dimension ref="A3:E18"/>
  <sheetViews>
    <sheetView zoomScale="115" workbookViewId="0">
      <selection activeCell="I14" sqref="I14"/>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8" max="8" width="11.33203125" customWidth="1"/>
  </cols>
  <sheetData>
    <row r="3" spans="1:5" x14ac:dyDescent="0.3">
      <c r="A3" s="5" t="s">
        <v>386</v>
      </c>
      <c r="B3" t="s">
        <v>397</v>
      </c>
    </row>
    <row r="4" spans="1:5" x14ac:dyDescent="0.3">
      <c r="A4" s="6" t="s">
        <v>399</v>
      </c>
      <c r="B4" s="8">
        <v>2094362</v>
      </c>
    </row>
    <row r="5" spans="1:5" x14ac:dyDescent="0.3">
      <c r="A5" s="6" t="s">
        <v>389</v>
      </c>
      <c r="B5" s="8">
        <v>2270585</v>
      </c>
    </row>
    <row r="6" spans="1:5" x14ac:dyDescent="0.3">
      <c r="A6" s="6" t="s">
        <v>393</v>
      </c>
      <c r="B6" s="8">
        <v>2300021</v>
      </c>
    </row>
    <row r="7" spans="1:5" x14ac:dyDescent="0.3">
      <c r="A7" s="6" t="s">
        <v>400</v>
      </c>
      <c r="B7" s="8">
        <v>2805085</v>
      </c>
    </row>
    <row r="8" spans="1:5" x14ac:dyDescent="0.3">
      <c r="A8" s="6" t="s">
        <v>391</v>
      </c>
      <c r="B8" s="8">
        <v>2832655</v>
      </c>
    </row>
    <row r="9" spans="1:5" x14ac:dyDescent="0.3">
      <c r="A9" s="6" t="s">
        <v>401</v>
      </c>
      <c r="B9" s="8">
        <v>2995992</v>
      </c>
    </row>
    <row r="10" spans="1:5" x14ac:dyDescent="0.3">
      <c r="A10" s="6" t="s">
        <v>392</v>
      </c>
      <c r="B10" s="8">
        <v>3399829</v>
      </c>
      <c r="D10" s="5" t="s">
        <v>386</v>
      </c>
      <c r="E10" t="s">
        <v>397</v>
      </c>
    </row>
    <row r="11" spans="1:5" x14ac:dyDescent="0.3">
      <c r="A11" s="6" t="s">
        <v>394</v>
      </c>
      <c r="B11" s="8">
        <v>3623590</v>
      </c>
      <c r="D11" s="6" t="s">
        <v>381</v>
      </c>
      <c r="E11" s="8">
        <v>10017683</v>
      </c>
    </row>
    <row r="12" spans="1:5" x14ac:dyDescent="0.3">
      <c r="A12" s="6" t="s">
        <v>390</v>
      </c>
      <c r="B12" s="8">
        <v>3835261</v>
      </c>
      <c r="D12" s="6" t="s">
        <v>382</v>
      </c>
      <c r="E12" s="8">
        <v>9552315</v>
      </c>
    </row>
    <row r="13" spans="1:5" x14ac:dyDescent="0.3">
      <c r="A13" s="6" t="s">
        <v>387</v>
      </c>
      <c r="B13" s="8">
        <v>4079462</v>
      </c>
      <c r="D13" s="6" t="s">
        <v>384</v>
      </c>
      <c r="E13" s="8">
        <v>11492506</v>
      </c>
    </row>
    <row r="14" spans="1:5" x14ac:dyDescent="0.3">
      <c r="A14" s="6" t="s">
        <v>395</v>
      </c>
      <c r="B14" s="8">
        <v>4565366</v>
      </c>
      <c r="D14" s="6" t="s">
        <v>383</v>
      </c>
      <c r="E14" s="8">
        <v>9422082</v>
      </c>
    </row>
    <row r="15" spans="1:5" x14ac:dyDescent="0.3">
      <c r="A15" s="6" t="s">
        <v>388</v>
      </c>
      <c r="B15" s="8">
        <v>5682378</v>
      </c>
      <c r="D15" s="6" t="s">
        <v>396</v>
      </c>
      <c r="E15" s="8">
        <v>40484586</v>
      </c>
    </row>
    <row r="16" spans="1:5" x14ac:dyDescent="0.3">
      <c r="A16" s="6" t="s">
        <v>396</v>
      </c>
      <c r="B16" s="8">
        <v>40484586</v>
      </c>
    </row>
    <row r="18" spans="1:2" x14ac:dyDescent="0.3">
      <c r="A18" t="s">
        <v>398</v>
      </c>
      <c r="B18" s="7">
        <f>SUM('Raw Data '!G:G)</f>
        <v>40484586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24DE-C9CD-4D9F-827C-C305F1F26EA4}">
  <dimension ref="A1"/>
  <sheetViews>
    <sheetView showGridLines="0" tabSelected="1" zoomScale="90" zoomScaleNormal="90" workbookViewId="0">
      <selection activeCell="I14" sqref="I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opLeftCell="A173" workbookViewId="0">
      <selection activeCell="J4" sqref="J4"/>
    </sheetView>
  </sheetViews>
  <sheetFormatPr defaultRowHeight="14.4" x14ac:dyDescent="0.3"/>
  <cols>
    <col min="1" max="1" width="11" customWidth="1"/>
    <col min="2" max="2" width="13.44140625" customWidth="1"/>
    <col min="3" max="3" width="9.5546875" customWidth="1"/>
    <col min="4" max="4" width="10.21875" customWidth="1"/>
    <col min="5" max="5" width="8.88671875" style="1"/>
    <col min="8" max="8" width="13.77734375" customWidth="1"/>
  </cols>
  <sheetData>
    <row r="1" spans="1:8" x14ac:dyDescent="0.3">
      <c r="A1" s="3" t="s">
        <v>0</v>
      </c>
      <c r="B1" s="3" t="s">
        <v>1</v>
      </c>
      <c r="C1" s="3" t="s">
        <v>2</v>
      </c>
      <c r="D1" s="3" t="s">
        <v>3</v>
      </c>
      <c r="E1" s="4" t="s">
        <v>4</v>
      </c>
      <c r="F1" s="3" t="s">
        <v>5</v>
      </c>
      <c r="G1" s="3" t="s">
        <v>6</v>
      </c>
      <c r="H1" s="3" t="s">
        <v>385</v>
      </c>
    </row>
    <row r="2" spans="1:8" x14ac:dyDescent="0.3">
      <c r="A2" t="s">
        <v>7</v>
      </c>
      <c r="B2" t="s">
        <v>207</v>
      </c>
      <c r="C2" t="s">
        <v>371</v>
      </c>
      <c r="D2">
        <v>1</v>
      </c>
      <c r="E2" s="2">
        <v>49098</v>
      </c>
      <c r="F2" t="s">
        <v>381</v>
      </c>
      <c r="G2">
        <f>E2*D2</f>
        <v>49098</v>
      </c>
      <c r="H2" t="str">
        <f t="shared" ref="H2:H33" si="0">TEXT(B2,"mmm-yyyy")</f>
        <v>Nov-2024</v>
      </c>
    </row>
    <row r="3" spans="1:8" x14ac:dyDescent="0.3">
      <c r="A3" t="s">
        <v>8</v>
      </c>
      <c r="B3" t="s">
        <v>208</v>
      </c>
      <c r="C3" t="s">
        <v>372</v>
      </c>
      <c r="D3">
        <v>3</v>
      </c>
      <c r="E3" s="2">
        <v>48765</v>
      </c>
      <c r="F3" t="s">
        <v>382</v>
      </c>
      <c r="G3">
        <f t="shared" ref="G3:G66" si="1">E3*D3</f>
        <v>146295</v>
      </c>
      <c r="H3" t="str">
        <f t="shared" si="0"/>
        <v>May-2024</v>
      </c>
    </row>
    <row r="4" spans="1:8" x14ac:dyDescent="0.3">
      <c r="A4" t="s">
        <v>9</v>
      </c>
      <c r="B4" t="s">
        <v>209</v>
      </c>
      <c r="C4" t="s">
        <v>373</v>
      </c>
      <c r="D4">
        <v>2</v>
      </c>
      <c r="E4" s="2">
        <v>39198</v>
      </c>
      <c r="F4" t="s">
        <v>383</v>
      </c>
      <c r="G4">
        <f t="shared" si="1"/>
        <v>78396</v>
      </c>
      <c r="H4" t="str">
        <f t="shared" si="0"/>
        <v>Dec-2024</v>
      </c>
    </row>
    <row r="5" spans="1:8" x14ac:dyDescent="0.3">
      <c r="A5" t="s">
        <v>10</v>
      </c>
      <c r="B5" t="s">
        <v>210</v>
      </c>
      <c r="C5" t="s">
        <v>374</v>
      </c>
      <c r="D5">
        <v>2</v>
      </c>
      <c r="E5" s="2">
        <v>14828</v>
      </c>
      <c r="F5" t="s">
        <v>384</v>
      </c>
      <c r="G5">
        <f t="shared" si="1"/>
        <v>29656</v>
      </c>
      <c r="H5" t="str">
        <f t="shared" si="0"/>
        <v>Jan-2024</v>
      </c>
    </row>
    <row r="6" spans="1:8" x14ac:dyDescent="0.3">
      <c r="A6" t="s">
        <v>11</v>
      </c>
      <c r="B6" t="s">
        <v>211</v>
      </c>
      <c r="C6" t="s">
        <v>375</v>
      </c>
      <c r="D6">
        <v>1</v>
      </c>
      <c r="E6" s="2">
        <v>37281</v>
      </c>
      <c r="F6" t="s">
        <v>384</v>
      </c>
      <c r="G6">
        <f t="shared" si="1"/>
        <v>37281</v>
      </c>
      <c r="H6" t="str">
        <f t="shared" si="0"/>
        <v>Sep-2024</v>
      </c>
    </row>
    <row r="7" spans="1:8" x14ac:dyDescent="0.3">
      <c r="A7" t="s">
        <v>12</v>
      </c>
      <c r="B7" t="s">
        <v>212</v>
      </c>
      <c r="C7" t="s">
        <v>373</v>
      </c>
      <c r="D7">
        <v>7</v>
      </c>
      <c r="E7" s="2">
        <v>14946</v>
      </c>
      <c r="F7" t="s">
        <v>383</v>
      </c>
      <c r="G7">
        <f t="shared" si="1"/>
        <v>104622</v>
      </c>
      <c r="H7" t="str">
        <f t="shared" si="0"/>
        <v>Nov-2024</v>
      </c>
    </row>
    <row r="8" spans="1:8" x14ac:dyDescent="0.3">
      <c r="A8" t="s">
        <v>13</v>
      </c>
      <c r="B8" t="s">
        <v>213</v>
      </c>
      <c r="C8" t="s">
        <v>376</v>
      </c>
      <c r="D8">
        <v>13</v>
      </c>
      <c r="E8" s="2">
        <v>925</v>
      </c>
      <c r="F8" t="s">
        <v>384</v>
      </c>
      <c r="G8">
        <f t="shared" si="1"/>
        <v>12025</v>
      </c>
      <c r="H8" t="str">
        <f t="shared" si="0"/>
        <v>Oct-2024</v>
      </c>
    </row>
    <row r="9" spans="1:8" x14ac:dyDescent="0.3">
      <c r="A9" t="s">
        <v>14</v>
      </c>
      <c r="B9" t="s">
        <v>214</v>
      </c>
      <c r="C9" t="s">
        <v>377</v>
      </c>
      <c r="D9">
        <v>6</v>
      </c>
      <c r="E9" s="2">
        <v>18710</v>
      </c>
      <c r="F9" t="s">
        <v>384</v>
      </c>
      <c r="G9">
        <f t="shared" si="1"/>
        <v>112260</v>
      </c>
      <c r="H9" t="str">
        <f t="shared" si="0"/>
        <v>Dec-2024</v>
      </c>
    </row>
    <row r="10" spans="1:8" x14ac:dyDescent="0.3">
      <c r="A10" t="s">
        <v>15</v>
      </c>
      <c r="B10" t="s">
        <v>215</v>
      </c>
      <c r="C10" t="s">
        <v>378</v>
      </c>
      <c r="D10">
        <v>2</v>
      </c>
      <c r="E10" s="2">
        <v>6578</v>
      </c>
      <c r="F10" t="s">
        <v>383</v>
      </c>
      <c r="G10">
        <f t="shared" si="1"/>
        <v>13156</v>
      </c>
      <c r="H10" t="str">
        <f t="shared" si="0"/>
        <v>Apr-2024</v>
      </c>
    </row>
    <row r="11" spans="1:8" x14ac:dyDescent="0.3">
      <c r="A11" t="s">
        <v>16</v>
      </c>
      <c r="B11" t="s">
        <v>216</v>
      </c>
      <c r="C11" t="s">
        <v>378</v>
      </c>
      <c r="D11">
        <v>14</v>
      </c>
      <c r="E11" s="2">
        <v>23041</v>
      </c>
      <c r="F11" t="s">
        <v>381</v>
      </c>
      <c r="G11">
        <f t="shared" si="1"/>
        <v>322574</v>
      </c>
      <c r="H11" t="str">
        <f t="shared" si="0"/>
        <v>Feb-2024</v>
      </c>
    </row>
    <row r="12" spans="1:8" x14ac:dyDescent="0.3">
      <c r="A12" t="s">
        <v>17</v>
      </c>
      <c r="B12" t="s">
        <v>217</v>
      </c>
      <c r="C12" t="s">
        <v>379</v>
      </c>
      <c r="D12">
        <v>9</v>
      </c>
      <c r="E12" s="2">
        <v>8680</v>
      </c>
      <c r="F12" t="s">
        <v>383</v>
      </c>
      <c r="G12">
        <f t="shared" si="1"/>
        <v>78120</v>
      </c>
      <c r="H12" t="str">
        <f t="shared" si="0"/>
        <v>Jan-2024</v>
      </c>
    </row>
    <row r="13" spans="1:8" x14ac:dyDescent="0.3">
      <c r="A13" t="s">
        <v>18</v>
      </c>
      <c r="B13" t="s">
        <v>218</v>
      </c>
      <c r="C13" t="s">
        <v>373</v>
      </c>
      <c r="D13">
        <v>5</v>
      </c>
      <c r="E13" s="2">
        <v>41698</v>
      </c>
      <c r="F13" t="s">
        <v>381</v>
      </c>
      <c r="G13">
        <f t="shared" si="1"/>
        <v>208490</v>
      </c>
      <c r="H13" t="str">
        <f t="shared" si="0"/>
        <v>Feb-2024</v>
      </c>
    </row>
    <row r="14" spans="1:8" x14ac:dyDescent="0.3">
      <c r="A14" t="s">
        <v>19</v>
      </c>
      <c r="B14" t="s">
        <v>219</v>
      </c>
      <c r="C14" t="s">
        <v>372</v>
      </c>
      <c r="D14">
        <v>12</v>
      </c>
      <c r="E14" s="2">
        <v>5058</v>
      </c>
      <c r="F14" t="s">
        <v>382</v>
      </c>
      <c r="G14">
        <f t="shared" si="1"/>
        <v>60696</v>
      </c>
      <c r="H14" t="str">
        <f t="shared" si="0"/>
        <v>Oct-2024</v>
      </c>
    </row>
    <row r="15" spans="1:8" x14ac:dyDescent="0.3">
      <c r="A15" t="s">
        <v>20</v>
      </c>
      <c r="B15" t="s">
        <v>220</v>
      </c>
      <c r="C15" t="s">
        <v>372</v>
      </c>
      <c r="D15">
        <v>13</v>
      </c>
      <c r="E15" s="2">
        <v>19465</v>
      </c>
      <c r="F15" t="s">
        <v>382</v>
      </c>
      <c r="G15">
        <f t="shared" si="1"/>
        <v>253045</v>
      </c>
      <c r="H15" t="str">
        <f t="shared" si="0"/>
        <v>Dec-2024</v>
      </c>
    </row>
    <row r="16" spans="1:8" x14ac:dyDescent="0.3">
      <c r="A16" t="s">
        <v>21</v>
      </c>
      <c r="B16" t="s">
        <v>221</v>
      </c>
      <c r="C16" t="s">
        <v>371</v>
      </c>
      <c r="D16">
        <v>7</v>
      </c>
      <c r="E16" s="2">
        <v>18717</v>
      </c>
      <c r="F16" t="s">
        <v>383</v>
      </c>
      <c r="G16">
        <f t="shared" si="1"/>
        <v>131019</v>
      </c>
      <c r="H16" t="str">
        <f t="shared" si="0"/>
        <v>Apr-2024</v>
      </c>
    </row>
    <row r="17" spans="1:8" x14ac:dyDescent="0.3">
      <c r="A17" t="s">
        <v>22</v>
      </c>
      <c r="B17" t="s">
        <v>222</v>
      </c>
      <c r="C17" t="s">
        <v>378</v>
      </c>
      <c r="D17">
        <v>3</v>
      </c>
      <c r="E17" s="2">
        <v>24760</v>
      </c>
      <c r="F17" t="s">
        <v>381</v>
      </c>
      <c r="G17">
        <f t="shared" si="1"/>
        <v>74280</v>
      </c>
      <c r="H17" t="str">
        <f t="shared" si="0"/>
        <v>Nov-2024</v>
      </c>
    </row>
    <row r="18" spans="1:8" x14ac:dyDescent="0.3">
      <c r="A18" t="s">
        <v>23</v>
      </c>
      <c r="B18" t="s">
        <v>223</v>
      </c>
      <c r="C18" t="s">
        <v>376</v>
      </c>
      <c r="D18">
        <v>12</v>
      </c>
      <c r="E18" s="2">
        <v>45296</v>
      </c>
      <c r="F18" t="s">
        <v>382</v>
      </c>
      <c r="G18">
        <f t="shared" si="1"/>
        <v>543552</v>
      </c>
      <c r="H18" t="str">
        <f t="shared" si="0"/>
        <v>Apr-2024</v>
      </c>
    </row>
    <row r="19" spans="1:8" x14ac:dyDescent="0.3">
      <c r="A19" t="s">
        <v>24</v>
      </c>
      <c r="B19" t="s">
        <v>224</v>
      </c>
      <c r="C19" t="s">
        <v>380</v>
      </c>
      <c r="D19">
        <v>9</v>
      </c>
      <c r="E19" s="2">
        <v>48284</v>
      </c>
      <c r="F19" t="s">
        <v>384</v>
      </c>
      <c r="G19">
        <f t="shared" si="1"/>
        <v>434556</v>
      </c>
      <c r="H19" t="str">
        <f t="shared" si="0"/>
        <v>Nov-2024</v>
      </c>
    </row>
    <row r="20" spans="1:8" x14ac:dyDescent="0.3">
      <c r="A20" t="s">
        <v>25</v>
      </c>
      <c r="B20" t="s">
        <v>225</v>
      </c>
      <c r="C20" t="s">
        <v>379</v>
      </c>
      <c r="D20">
        <v>7</v>
      </c>
      <c r="E20" s="2">
        <v>18191</v>
      </c>
      <c r="F20" t="s">
        <v>384</v>
      </c>
      <c r="G20">
        <f t="shared" si="1"/>
        <v>127337</v>
      </c>
      <c r="H20" t="str">
        <f t="shared" si="0"/>
        <v>Mar-2024</v>
      </c>
    </row>
    <row r="21" spans="1:8" x14ac:dyDescent="0.3">
      <c r="A21" t="s">
        <v>26</v>
      </c>
      <c r="B21" t="s">
        <v>226</v>
      </c>
      <c r="C21" t="s">
        <v>378</v>
      </c>
      <c r="D21">
        <v>14</v>
      </c>
      <c r="E21" s="2">
        <v>4165</v>
      </c>
      <c r="F21" t="s">
        <v>384</v>
      </c>
      <c r="G21">
        <f t="shared" si="1"/>
        <v>58310</v>
      </c>
      <c r="H21" t="str">
        <f t="shared" si="0"/>
        <v>Dec-2024</v>
      </c>
    </row>
    <row r="22" spans="1:8" x14ac:dyDescent="0.3">
      <c r="A22" t="s">
        <v>27</v>
      </c>
      <c r="B22" t="s">
        <v>210</v>
      </c>
      <c r="C22" t="s">
        <v>378</v>
      </c>
      <c r="D22">
        <v>7</v>
      </c>
      <c r="E22" s="2">
        <v>18046</v>
      </c>
      <c r="F22" t="s">
        <v>382</v>
      </c>
      <c r="G22">
        <f t="shared" si="1"/>
        <v>126322</v>
      </c>
      <c r="H22" t="str">
        <f t="shared" si="0"/>
        <v>Jan-2024</v>
      </c>
    </row>
    <row r="23" spans="1:8" x14ac:dyDescent="0.3">
      <c r="A23" t="s">
        <v>28</v>
      </c>
      <c r="B23" t="s">
        <v>227</v>
      </c>
      <c r="C23" t="s">
        <v>375</v>
      </c>
      <c r="D23">
        <v>15</v>
      </c>
      <c r="E23" s="2">
        <v>47549</v>
      </c>
      <c r="F23" t="s">
        <v>381</v>
      </c>
      <c r="G23">
        <f t="shared" si="1"/>
        <v>713235</v>
      </c>
      <c r="H23" t="str">
        <f t="shared" si="0"/>
        <v>Apr-2024</v>
      </c>
    </row>
    <row r="24" spans="1:8" x14ac:dyDescent="0.3">
      <c r="A24" t="s">
        <v>29</v>
      </c>
      <c r="B24" t="s">
        <v>227</v>
      </c>
      <c r="C24" t="s">
        <v>379</v>
      </c>
      <c r="D24">
        <v>7</v>
      </c>
      <c r="E24" s="2">
        <v>42629</v>
      </c>
      <c r="F24" t="s">
        <v>383</v>
      </c>
      <c r="G24">
        <f t="shared" si="1"/>
        <v>298403</v>
      </c>
      <c r="H24" t="str">
        <f t="shared" si="0"/>
        <v>Apr-2024</v>
      </c>
    </row>
    <row r="25" spans="1:8" x14ac:dyDescent="0.3">
      <c r="A25" t="s">
        <v>30</v>
      </c>
      <c r="B25" t="s">
        <v>228</v>
      </c>
      <c r="C25" t="s">
        <v>376</v>
      </c>
      <c r="D25">
        <v>3</v>
      </c>
      <c r="E25" s="2">
        <v>16662</v>
      </c>
      <c r="F25" t="s">
        <v>381</v>
      </c>
      <c r="G25">
        <f t="shared" si="1"/>
        <v>49986</v>
      </c>
      <c r="H25" t="str">
        <f t="shared" si="0"/>
        <v>Mar-2024</v>
      </c>
    </row>
    <row r="26" spans="1:8" x14ac:dyDescent="0.3">
      <c r="A26" t="s">
        <v>31</v>
      </c>
      <c r="B26" t="s">
        <v>229</v>
      </c>
      <c r="C26" t="s">
        <v>377</v>
      </c>
      <c r="D26">
        <v>15</v>
      </c>
      <c r="E26" s="2">
        <v>38742</v>
      </c>
      <c r="F26" t="s">
        <v>383</v>
      </c>
      <c r="G26">
        <f t="shared" si="1"/>
        <v>581130</v>
      </c>
      <c r="H26" t="str">
        <f t="shared" si="0"/>
        <v>Oct-2024</v>
      </c>
    </row>
    <row r="27" spans="1:8" x14ac:dyDescent="0.3">
      <c r="A27" t="s">
        <v>32</v>
      </c>
      <c r="B27" t="s">
        <v>230</v>
      </c>
      <c r="C27" t="s">
        <v>372</v>
      </c>
      <c r="D27">
        <v>3</v>
      </c>
      <c r="E27" s="2">
        <v>33892</v>
      </c>
      <c r="F27" t="s">
        <v>383</v>
      </c>
      <c r="G27">
        <f t="shared" si="1"/>
        <v>101676</v>
      </c>
      <c r="H27" t="str">
        <f t="shared" si="0"/>
        <v>Jul-2024</v>
      </c>
    </row>
    <row r="28" spans="1:8" x14ac:dyDescent="0.3">
      <c r="A28" t="s">
        <v>33</v>
      </c>
      <c r="B28" t="s">
        <v>231</v>
      </c>
      <c r="C28" t="s">
        <v>374</v>
      </c>
      <c r="D28">
        <v>14</v>
      </c>
      <c r="E28" s="2">
        <v>7685</v>
      </c>
      <c r="F28" t="s">
        <v>384</v>
      </c>
      <c r="G28">
        <f t="shared" si="1"/>
        <v>107590</v>
      </c>
      <c r="H28" t="str">
        <f t="shared" si="0"/>
        <v>Feb-2024</v>
      </c>
    </row>
    <row r="29" spans="1:8" x14ac:dyDescent="0.3">
      <c r="A29" t="s">
        <v>34</v>
      </c>
      <c r="B29" t="s">
        <v>232</v>
      </c>
      <c r="C29" t="s">
        <v>380</v>
      </c>
      <c r="D29">
        <v>13</v>
      </c>
      <c r="E29" s="2">
        <v>45096</v>
      </c>
      <c r="F29" t="s">
        <v>383</v>
      </c>
      <c r="G29">
        <f t="shared" si="1"/>
        <v>586248</v>
      </c>
      <c r="H29" t="str">
        <f t="shared" si="0"/>
        <v>Nov-2024</v>
      </c>
    </row>
    <row r="30" spans="1:8" x14ac:dyDescent="0.3">
      <c r="A30" t="s">
        <v>35</v>
      </c>
      <c r="B30" t="s">
        <v>233</v>
      </c>
      <c r="C30" t="s">
        <v>371</v>
      </c>
      <c r="D30">
        <v>7</v>
      </c>
      <c r="E30" s="2">
        <v>25509</v>
      </c>
      <c r="F30" t="s">
        <v>383</v>
      </c>
      <c r="G30">
        <f t="shared" si="1"/>
        <v>178563</v>
      </c>
      <c r="H30" t="str">
        <f t="shared" si="0"/>
        <v>Nov-2024</v>
      </c>
    </row>
    <row r="31" spans="1:8" x14ac:dyDescent="0.3">
      <c r="A31" t="s">
        <v>36</v>
      </c>
      <c r="B31" t="s">
        <v>234</v>
      </c>
      <c r="C31" t="s">
        <v>376</v>
      </c>
      <c r="D31">
        <v>9</v>
      </c>
      <c r="E31" s="2">
        <v>1252</v>
      </c>
      <c r="F31" t="s">
        <v>382</v>
      </c>
      <c r="G31">
        <f t="shared" si="1"/>
        <v>11268</v>
      </c>
      <c r="H31" t="str">
        <f t="shared" si="0"/>
        <v>Sep-2024</v>
      </c>
    </row>
    <row r="32" spans="1:8" x14ac:dyDescent="0.3">
      <c r="A32" t="s">
        <v>37</v>
      </c>
      <c r="B32" t="s">
        <v>235</v>
      </c>
      <c r="C32" t="s">
        <v>373</v>
      </c>
      <c r="D32">
        <v>13</v>
      </c>
      <c r="E32" s="2">
        <v>17986</v>
      </c>
      <c r="F32" t="s">
        <v>381</v>
      </c>
      <c r="G32">
        <f t="shared" si="1"/>
        <v>233818</v>
      </c>
      <c r="H32" t="str">
        <f t="shared" si="0"/>
        <v>Dec-2024</v>
      </c>
    </row>
    <row r="33" spans="1:8" x14ac:dyDescent="0.3">
      <c r="A33" t="s">
        <v>38</v>
      </c>
      <c r="B33" t="s">
        <v>236</v>
      </c>
      <c r="C33" t="s">
        <v>376</v>
      </c>
      <c r="D33">
        <v>7</v>
      </c>
      <c r="E33" s="2">
        <v>10865</v>
      </c>
      <c r="F33" t="s">
        <v>383</v>
      </c>
      <c r="G33">
        <f t="shared" si="1"/>
        <v>76055</v>
      </c>
      <c r="H33" t="str">
        <f t="shared" si="0"/>
        <v>Feb-2024</v>
      </c>
    </row>
    <row r="34" spans="1:8" x14ac:dyDescent="0.3">
      <c r="A34" t="s">
        <v>39</v>
      </c>
      <c r="B34" t="s">
        <v>237</v>
      </c>
      <c r="C34" t="s">
        <v>376</v>
      </c>
      <c r="D34">
        <v>9</v>
      </c>
      <c r="E34" s="2">
        <v>12208</v>
      </c>
      <c r="F34" t="s">
        <v>382</v>
      </c>
      <c r="G34">
        <f t="shared" si="1"/>
        <v>109872</v>
      </c>
      <c r="H34" t="str">
        <f t="shared" ref="H34:H65" si="2">TEXT(B34,"mmm-yyyy")</f>
        <v>Jan-2024</v>
      </c>
    </row>
    <row r="35" spans="1:8" x14ac:dyDescent="0.3">
      <c r="A35" t="s">
        <v>40</v>
      </c>
      <c r="B35" t="s">
        <v>238</v>
      </c>
      <c r="C35" t="s">
        <v>376</v>
      </c>
      <c r="D35">
        <v>14</v>
      </c>
      <c r="E35" s="2">
        <v>42374</v>
      </c>
      <c r="F35" t="s">
        <v>384</v>
      </c>
      <c r="G35">
        <f t="shared" si="1"/>
        <v>593236</v>
      </c>
      <c r="H35" t="str">
        <f t="shared" si="2"/>
        <v>Nov-2024</v>
      </c>
    </row>
    <row r="36" spans="1:8" x14ac:dyDescent="0.3">
      <c r="A36" t="s">
        <v>41</v>
      </c>
      <c r="B36" t="s">
        <v>239</v>
      </c>
      <c r="C36" t="s">
        <v>378</v>
      </c>
      <c r="D36">
        <v>13</v>
      </c>
      <c r="E36" s="2">
        <v>11087</v>
      </c>
      <c r="F36" t="s">
        <v>382</v>
      </c>
      <c r="G36">
        <f t="shared" si="1"/>
        <v>144131</v>
      </c>
      <c r="H36" t="str">
        <f t="shared" si="2"/>
        <v>Mar-2024</v>
      </c>
    </row>
    <row r="37" spans="1:8" x14ac:dyDescent="0.3">
      <c r="A37" t="s">
        <v>42</v>
      </c>
      <c r="B37" t="s">
        <v>240</v>
      </c>
      <c r="C37" t="s">
        <v>378</v>
      </c>
      <c r="D37">
        <v>8</v>
      </c>
      <c r="E37" s="2">
        <v>1776</v>
      </c>
      <c r="F37" t="s">
        <v>382</v>
      </c>
      <c r="G37">
        <f t="shared" si="1"/>
        <v>14208</v>
      </c>
      <c r="H37" t="str">
        <f t="shared" si="2"/>
        <v>Nov-2024</v>
      </c>
    </row>
    <row r="38" spans="1:8" x14ac:dyDescent="0.3">
      <c r="A38" t="s">
        <v>43</v>
      </c>
      <c r="B38" t="s">
        <v>230</v>
      </c>
      <c r="C38" t="s">
        <v>376</v>
      </c>
      <c r="D38">
        <v>4</v>
      </c>
      <c r="E38" s="2">
        <v>4296</v>
      </c>
      <c r="F38" t="s">
        <v>384</v>
      </c>
      <c r="G38">
        <f t="shared" si="1"/>
        <v>17184</v>
      </c>
      <c r="H38" t="str">
        <f t="shared" si="2"/>
        <v>Jul-2024</v>
      </c>
    </row>
    <row r="39" spans="1:8" x14ac:dyDescent="0.3">
      <c r="A39" t="s">
        <v>44</v>
      </c>
      <c r="B39" t="s">
        <v>241</v>
      </c>
      <c r="C39" t="s">
        <v>371</v>
      </c>
      <c r="D39">
        <v>2</v>
      </c>
      <c r="E39" s="2">
        <v>48466</v>
      </c>
      <c r="F39" t="s">
        <v>383</v>
      </c>
      <c r="G39">
        <f t="shared" si="1"/>
        <v>96932</v>
      </c>
      <c r="H39" t="str">
        <f t="shared" si="2"/>
        <v>Oct-2024</v>
      </c>
    </row>
    <row r="40" spans="1:8" x14ac:dyDescent="0.3">
      <c r="A40" t="s">
        <v>45</v>
      </c>
      <c r="B40" t="s">
        <v>242</v>
      </c>
      <c r="C40" t="s">
        <v>373</v>
      </c>
      <c r="D40">
        <v>13</v>
      </c>
      <c r="E40" s="2">
        <v>8741</v>
      </c>
      <c r="F40" t="s">
        <v>384</v>
      </c>
      <c r="G40">
        <f t="shared" si="1"/>
        <v>113633</v>
      </c>
      <c r="H40" t="str">
        <f t="shared" si="2"/>
        <v>Feb-2024</v>
      </c>
    </row>
    <row r="41" spans="1:8" x14ac:dyDescent="0.3">
      <c r="A41" t="s">
        <v>46</v>
      </c>
      <c r="B41" t="s">
        <v>243</v>
      </c>
      <c r="C41" t="s">
        <v>379</v>
      </c>
      <c r="D41">
        <v>9</v>
      </c>
      <c r="E41" s="2">
        <v>11321</v>
      </c>
      <c r="F41" t="s">
        <v>381</v>
      </c>
      <c r="G41">
        <f t="shared" si="1"/>
        <v>101889</v>
      </c>
      <c r="H41" t="str">
        <f t="shared" si="2"/>
        <v>Dec-2024</v>
      </c>
    </row>
    <row r="42" spans="1:8" x14ac:dyDescent="0.3">
      <c r="A42" t="s">
        <v>47</v>
      </c>
      <c r="B42" t="s">
        <v>234</v>
      </c>
      <c r="C42" t="s">
        <v>375</v>
      </c>
      <c r="D42">
        <v>7</v>
      </c>
      <c r="E42" s="2">
        <v>14380</v>
      </c>
      <c r="F42" t="s">
        <v>384</v>
      </c>
      <c r="G42">
        <f t="shared" si="1"/>
        <v>100660</v>
      </c>
      <c r="H42" t="str">
        <f t="shared" si="2"/>
        <v>Sep-2024</v>
      </c>
    </row>
    <row r="43" spans="1:8" x14ac:dyDescent="0.3">
      <c r="A43" t="s">
        <v>48</v>
      </c>
      <c r="B43" t="s">
        <v>244</v>
      </c>
      <c r="C43" t="s">
        <v>377</v>
      </c>
      <c r="D43">
        <v>11</v>
      </c>
      <c r="E43" s="2">
        <v>43090</v>
      </c>
      <c r="F43" t="s">
        <v>381</v>
      </c>
      <c r="G43">
        <f t="shared" si="1"/>
        <v>473990</v>
      </c>
      <c r="H43" t="str">
        <f t="shared" si="2"/>
        <v>Jun-2024</v>
      </c>
    </row>
    <row r="44" spans="1:8" x14ac:dyDescent="0.3">
      <c r="A44" t="s">
        <v>49</v>
      </c>
      <c r="B44" t="s">
        <v>245</v>
      </c>
      <c r="C44" t="s">
        <v>373</v>
      </c>
      <c r="D44">
        <v>8</v>
      </c>
      <c r="E44" s="2">
        <v>8430</v>
      </c>
      <c r="F44" t="s">
        <v>384</v>
      </c>
      <c r="G44">
        <f t="shared" si="1"/>
        <v>67440</v>
      </c>
      <c r="H44" t="str">
        <f t="shared" si="2"/>
        <v>Aug-2024</v>
      </c>
    </row>
    <row r="45" spans="1:8" x14ac:dyDescent="0.3">
      <c r="A45" t="s">
        <v>50</v>
      </c>
      <c r="B45" t="s">
        <v>246</v>
      </c>
      <c r="C45" t="s">
        <v>371</v>
      </c>
      <c r="D45">
        <v>6</v>
      </c>
      <c r="E45" s="2">
        <v>1878</v>
      </c>
      <c r="F45" t="s">
        <v>384</v>
      </c>
      <c r="G45">
        <f t="shared" si="1"/>
        <v>11268</v>
      </c>
      <c r="H45" t="str">
        <f t="shared" si="2"/>
        <v>Apr-2024</v>
      </c>
    </row>
    <row r="46" spans="1:8" x14ac:dyDescent="0.3">
      <c r="A46" t="s">
        <v>51</v>
      </c>
      <c r="B46" t="s">
        <v>213</v>
      </c>
      <c r="C46" t="s">
        <v>372</v>
      </c>
      <c r="D46">
        <v>1</v>
      </c>
      <c r="E46" s="2">
        <v>5152</v>
      </c>
      <c r="F46" t="s">
        <v>382</v>
      </c>
      <c r="G46">
        <f t="shared" si="1"/>
        <v>5152</v>
      </c>
      <c r="H46" t="str">
        <f t="shared" si="2"/>
        <v>Oct-2024</v>
      </c>
    </row>
    <row r="47" spans="1:8" x14ac:dyDescent="0.3">
      <c r="A47" t="s">
        <v>52</v>
      </c>
      <c r="B47" t="s">
        <v>247</v>
      </c>
      <c r="C47" t="s">
        <v>371</v>
      </c>
      <c r="D47">
        <v>15</v>
      </c>
      <c r="E47" s="2">
        <v>2558</v>
      </c>
      <c r="F47" t="s">
        <v>381</v>
      </c>
      <c r="G47">
        <f t="shared" si="1"/>
        <v>38370</v>
      </c>
      <c r="H47" t="str">
        <f t="shared" si="2"/>
        <v>Apr-2024</v>
      </c>
    </row>
    <row r="48" spans="1:8" x14ac:dyDescent="0.3">
      <c r="A48" t="s">
        <v>53</v>
      </c>
      <c r="B48" t="s">
        <v>248</v>
      </c>
      <c r="C48" t="s">
        <v>373</v>
      </c>
      <c r="D48">
        <v>4</v>
      </c>
      <c r="E48" s="2">
        <v>18750</v>
      </c>
      <c r="F48" t="s">
        <v>383</v>
      </c>
      <c r="G48">
        <f t="shared" si="1"/>
        <v>75000</v>
      </c>
      <c r="H48" t="str">
        <f t="shared" si="2"/>
        <v>Feb-2024</v>
      </c>
    </row>
    <row r="49" spans="1:8" x14ac:dyDescent="0.3">
      <c r="A49" t="s">
        <v>54</v>
      </c>
      <c r="B49" t="s">
        <v>249</v>
      </c>
      <c r="C49" t="s">
        <v>373</v>
      </c>
      <c r="D49">
        <v>3</v>
      </c>
      <c r="E49" s="2">
        <v>47905</v>
      </c>
      <c r="F49" t="s">
        <v>383</v>
      </c>
      <c r="G49">
        <f t="shared" si="1"/>
        <v>143715</v>
      </c>
      <c r="H49" t="str">
        <f t="shared" si="2"/>
        <v>Apr-2024</v>
      </c>
    </row>
    <row r="50" spans="1:8" x14ac:dyDescent="0.3">
      <c r="A50" t="s">
        <v>55</v>
      </c>
      <c r="B50" t="s">
        <v>250</v>
      </c>
      <c r="C50" t="s">
        <v>379</v>
      </c>
      <c r="D50">
        <v>13</v>
      </c>
      <c r="E50" s="2">
        <v>27177</v>
      </c>
      <c r="F50" t="s">
        <v>384</v>
      </c>
      <c r="G50">
        <f t="shared" si="1"/>
        <v>353301</v>
      </c>
      <c r="H50" t="str">
        <f t="shared" si="2"/>
        <v>May-2024</v>
      </c>
    </row>
    <row r="51" spans="1:8" x14ac:dyDescent="0.3">
      <c r="A51" t="s">
        <v>56</v>
      </c>
      <c r="B51" t="s">
        <v>251</v>
      </c>
      <c r="C51" t="s">
        <v>371</v>
      </c>
      <c r="D51">
        <v>11</v>
      </c>
      <c r="E51" s="2">
        <v>28749</v>
      </c>
      <c r="F51" t="s">
        <v>381</v>
      </c>
      <c r="G51">
        <f t="shared" si="1"/>
        <v>316239</v>
      </c>
      <c r="H51" t="str">
        <f t="shared" si="2"/>
        <v>Feb-2024</v>
      </c>
    </row>
    <row r="52" spans="1:8" x14ac:dyDescent="0.3">
      <c r="A52" t="s">
        <v>57</v>
      </c>
      <c r="B52" t="s">
        <v>252</v>
      </c>
      <c r="C52" t="s">
        <v>377</v>
      </c>
      <c r="D52">
        <v>8</v>
      </c>
      <c r="E52" s="2">
        <v>48280</v>
      </c>
      <c r="F52" t="s">
        <v>382</v>
      </c>
      <c r="G52">
        <f t="shared" si="1"/>
        <v>386240</v>
      </c>
      <c r="H52" t="str">
        <f t="shared" si="2"/>
        <v>Aug-2024</v>
      </c>
    </row>
    <row r="53" spans="1:8" x14ac:dyDescent="0.3">
      <c r="A53" t="s">
        <v>58</v>
      </c>
      <c r="B53" t="s">
        <v>253</v>
      </c>
      <c r="C53" t="s">
        <v>371</v>
      </c>
      <c r="D53">
        <v>1</v>
      </c>
      <c r="E53" s="2">
        <v>26886</v>
      </c>
      <c r="F53" t="s">
        <v>381</v>
      </c>
      <c r="G53">
        <f t="shared" si="1"/>
        <v>26886</v>
      </c>
      <c r="H53" t="str">
        <f t="shared" si="2"/>
        <v>Dec-2024</v>
      </c>
    </row>
    <row r="54" spans="1:8" x14ac:dyDescent="0.3">
      <c r="A54" t="s">
        <v>59</v>
      </c>
      <c r="B54" t="s">
        <v>254</v>
      </c>
      <c r="C54" t="s">
        <v>372</v>
      </c>
      <c r="D54">
        <v>4</v>
      </c>
      <c r="E54" s="2">
        <v>12965</v>
      </c>
      <c r="F54" t="s">
        <v>383</v>
      </c>
      <c r="G54">
        <f t="shared" si="1"/>
        <v>51860</v>
      </c>
      <c r="H54" t="str">
        <f t="shared" si="2"/>
        <v>Feb-2024</v>
      </c>
    </row>
    <row r="55" spans="1:8" x14ac:dyDescent="0.3">
      <c r="A55" t="s">
        <v>60</v>
      </c>
      <c r="B55" t="s">
        <v>255</v>
      </c>
      <c r="C55" t="s">
        <v>377</v>
      </c>
      <c r="D55">
        <v>3</v>
      </c>
      <c r="E55" s="2">
        <v>18754</v>
      </c>
      <c r="F55" t="s">
        <v>383</v>
      </c>
      <c r="G55">
        <f t="shared" si="1"/>
        <v>56262</v>
      </c>
      <c r="H55" t="str">
        <f t="shared" si="2"/>
        <v>Mar-2024</v>
      </c>
    </row>
    <row r="56" spans="1:8" x14ac:dyDescent="0.3">
      <c r="A56" t="s">
        <v>61</v>
      </c>
      <c r="B56" t="s">
        <v>256</v>
      </c>
      <c r="C56" t="s">
        <v>371</v>
      </c>
      <c r="D56">
        <v>8</v>
      </c>
      <c r="E56" s="2">
        <v>36566</v>
      </c>
      <c r="F56" t="s">
        <v>382</v>
      </c>
      <c r="G56">
        <f t="shared" si="1"/>
        <v>292528</v>
      </c>
      <c r="H56" t="str">
        <f t="shared" si="2"/>
        <v>May-2024</v>
      </c>
    </row>
    <row r="57" spans="1:8" x14ac:dyDescent="0.3">
      <c r="A57" t="s">
        <v>62</v>
      </c>
      <c r="B57" t="s">
        <v>257</v>
      </c>
      <c r="C57" t="s">
        <v>373</v>
      </c>
      <c r="D57">
        <v>14</v>
      </c>
      <c r="E57" s="2">
        <v>1467</v>
      </c>
      <c r="F57" t="s">
        <v>382</v>
      </c>
      <c r="G57">
        <f t="shared" si="1"/>
        <v>20538</v>
      </c>
      <c r="H57" t="str">
        <f t="shared" si="2"/>
        <v>Jan-2024</v>
      </c>
    </row>
    <row r="58" spans="1:8" x14ac:dyDescent="0.3">
      <c r="A58" t="s">
        <v>63</v>
      </c>
      <c r="B58" t="s">
        <v>258</v>
      </c>
      <c r="C58" t="s">
        <v>380</v>
      </c>
      <c r="D58">
        <v>7</v>
      </c>
      <c r="E58" s="2">
        <v>32326</v>
      </c>
      <c r="F58" t="s">
        <v>383</v>
      </c>
      <c r="G58">
        <f t="shared" si="1"/>
        <v>226282</v>
      </c>
      <c r="H58" t="str">
        <f t="shared" si="2"/>
        <v>May-2024</v>
      </c>
    </row>
    <row r="59" spans="1:8" x14ac:dyDescent="0.3">
      <c r="A59" t="s">
        <v>64</v>
      </c>
      <c r="B59" t="s">
        <v>249</v>
      </c>
      <c r="C59" t="s">
        <v>377</v>
      </c>
      <c r="D59">
        <v>15</v>
      </c>
      <c r="E59" s="2">
        <v>4342</v>
      </c>
      <c r="F59" t="s">
        <v>384</v>
      </c>
      <c r="G59">
        <f t="shared" si="1"/>
        <v>65130</v>
      </c>
      <c r="H59" t="str">
        <f t="shared" si="2"/>
        <v>Apr-2024</v>
      </c>
    </row>
    <row r="60" spans="1:8" x14ac:dyDescent="0.3">
      <c r="A60" t="s">
        <v>65</v>
      </c>
      <c r="B60" t="s">
        <v>259</v>
      </c>
      <c r="C60" t="s">
        <v>374</v>
      </c>
      <c r="D60">
        <v>7</v>
      </c>
      <c r="E60" s="2">
        <v>17880</v>
      </c>
      <c r="F60" t="s">
        <v>383</v>
      </c>
      <c r="G60">
        <f t="shared" si="1"/>
        <v>125160</v>
      </c>
      <c r="H60" t="str">
        <f t="shared" si="2"/>
        <v>Jul-2024</v>
      </c>
    </row>
    <row r="61" spans="1:8" x14ac:dyDescent="0.3">
      <c r="A61" t="s">
        <v>66</v>
      </c>
      <c r="B61" t="s">
        <v>260</v>
      </c>
      <c r="C61" t="s">
        <v>377</v>
      </c>
      <c r="D61">
        <v>12</v>
      </c>
      <c r="E61" s="2">
        <v>48374</v>
      </c>
      <c r="F61" t="s">
        <v>383</v>
      </c>
      <c r="G61">
        <f t="shared" si="1"/>
        <v>580488</v>
      </c>
      <c r="H61" t="str">
        <f t="shared" si="2"/>
        <v>May-2024</v>
      </c>
    </row>
    <row r="62" spans="1:8" x14ac:dyDescent="0.3">
      <c r="A62" t="s">
        <v>67</v>
      </c>
      <c r="B62" t="s">
        <v>261</v>
      </c>
      <c r="C62" t="s">
        <v>372</v>
      </c>
      <c r="D62">
        <v>5</v>
      </c>
      <c r="E62" s="2">
        <v>14767</v>
      </c>
      <c r="F62" t="s">
        <v>382</v>
      </c>
      <c r="G62">
        <f t="shared" si="1"/>
        <v>73835</v>
      </c>
      <c r="H62" t="str">
        <f t="shared" si="2"/>
        <v>Mar-2024</v>
      </c>
    </row>
    <row r="63" spans="1:8" x14ac:dyDescent="0.3">
      <c r="A63" t="s">
        <v>68</v>
      </c>
      <c r="B63" t="s">
        <v>262</v>
      </c>
      <c r="C63" t="s">
        <v>373</v>
      </c>
      <c r="D63">
        <v>1</v>
      </c>
      <c r="E63" s="2">
        <v>49519</v>
      </c>
      <c r="F63" t="s">
        <v>381</v>
      </c>
      <c r="G63">
        <f t="shared" si="1"/>
        <v>49519</v>
      </c>
      <c r="H63" t="str">
        <f t="shared" si="2"/>
        <v>Oct-2024</v>
      </c>
    </row>
    <row r="64" spans="1:8" x14ac:dyDescent="0.3">
      <c r="A64" t="s">
        <v>69</v>
      </c>
      <c r="B64" t="s">
        <v>263</v>
      </c>
      <c r="C64" t="s">
        <v>374</v>
      </c>
      <c r="D64">
        <v>10</v>
      </c>
      <c r="E64" s="2">
        <v>31746</v>
      </c>
      <c r="F64" t="s">
        <v>384</v>
      </c>
      <c r="G64">
        <f t="shared" si="1"/>
        <v>317460</v>
      </c>
      <c r="H64" t="str">
        <f t="shared" si="2"/>
        <v>Jan-2024</v>
      </c>
    </row>
    <row r="65" spans="1:8" x14ac:dyDescent="0.3">
      <c r="A65" t="s">
        <v>70</v>
      </c>
      <c r="B65" t="s">
        <v>263</v>
      </c>
      <c r="C65" t="s">
        <v>373</v>
      </c>
      <c r="D65">
        <v>2</v>
      </c>
      <c r="E65" s="2">
        <v>12678</v>
      </c>
      <c r="F65" t="s">
        <v>382</v>
      </c>
      <c r="G65">
        <f t="shared" si="1"/>
        <v>25356</v>
      </c>
      <c r="H65" t="str">
        <f t="shared" si="2"/>
        <v>Jan-2024</v>
      </c>
    </row>
    <row r="66" spans="1:8" x14ac:dyDescent="0.3">
      <c r="A66" t="s">
        <v>71</v>
      </c>
      <c r="B66" t="s">
        <v>264</v>
      </c>
      <c r="C66" t="s">
        <v>371</v>
      </c>
      <c r="D66">
        <v>11</v>
      </c>
      <c r="E66" s="2">
        <v>15914</v>
      </c>
      <c r="F66" t="s">
        <v>383</v>
      </c>
      <c r="G66">
        <f t="shared" si="1"/>
        <v>175054</v>
      </c>
      <c r="H66" t="str">
        <f t="shared" ref="H66:H97" si="3">TEXT(B66,"mmm-yyyy")</f>
        <v>Oct-2024</v>
      </c>
    </row>
    <row r="67" spans="1:8" x14ac:dyDescent="0.3">
      <c r="A67" t="s">
        <v>72</v>
      </c>
      <c r="B67" t="s">
        <v>265</v>
      </c>
      <c r="C67" t="s">
        <v>375</v>
      </c>
      <c r="D67">
        <v>4</v>
      </c>
      <c r="E67" s="2">
        <v>38440</v>
      </c>
      <c r="F67" t="s">
        <v>382</v>
      </c>
      <c r="G67">
        <f t="shared" ref="G67:G130" si="4">E67*D67</f>
        <v>153760</v>
      </c>
      <c r="H67" t="str">
        <f t="shared" si="3"/>
        <v>Mar-2024</v>
      </c>
    </row>
    <row r="68" spans="1:8" x14ac:dyDescent="0.3">
      <c r="A68" t="s">
        <v>73</v>
      </c>
      <c r="B68" t="s">
        <v>266</v>
      </c>
      <c r="C68" t="s">
        <v>371</v>
      </c>
      <c r="D68">
        <v>7</v>
      </c>
      <c r="E68" s="2">
        <v>43581</v>
      </c>
      <c r="F68" t="s">
        <v>381</v>
      </c>
      <c r="G68">
        <f t="shared" si="4"/>
        <v>305067</v>
      </c>
      <c r="H68" t="str">
        <f t="shared" si="3"/>
        <v>Nov-2024</v>
      </c>
    </row>
    <row r="69" spans="1:8" x14ac:dyDescent="0.3">
      <c r="A69" t="s">
        <v>74</v>
      </c>
      <c r="B69" t="s">
        <v>267</v>
      </c>
      <c r="C69" t="s">
        <v>372</v>
      </c>
      <c r="D69">
        <v>11</v>
      </c>
      <c r="E69" s="2">
        <v>47436</v>
      </c>
      <c r="F69" t="s">
        <v>381</v>
      </c>
      <c r="G69">
        <f t="shared" si="4"/>
        <v>521796</v>
      </c>
      <c r="H69" t="str">
        <f t="shared" si="3"/>
        <v>May-2024</v>
      </c>
    </row>
    <row r="70" spans="1:8" x14ac:dyDescent="0.3">
      <c r="A70" t="s">
        <v>75</v>
      </c>
      <c r="B70" t="s">
        <v>268</v>
      </c>
      <c r="C70" t="s">
        <v>376</v>
      </c>
      <c r="D70">
        <v>7</v>
      </c>
      <c r="E70" s="2">
        <v>9077</v>
      </c>
      <c r="F70" t="s">
        <v>381</v>
      </c>
      <c r="G70">
        <f t="shared" si="4"/>
        <v>63539</v>
      </c>
      <c r="H70" t="str">
        <f t="shared" si="3"/>
        <v>May-2024</v>
      </c>
    </row>
    <row r="71" spans="1:8" x14ac:dyDescent="0.3">
      <c r="A71" t="s">
        <v>76</v>
      </c>
      <c r="B71" t="s">
        <v>269</v>
      </c>
      <c r="C71" t="s">
        <v>378</v>
      </c>
      <c r="D71">
        <v>15</v>
      </c>
      <c r="E71" s="2">
        <v>49774</v>
      </c>
      <c r="F71" t="s">
        <v>382</v>
      </c>
      <c r="G71">
        <f t="shared" si="4"/>
        <v>746610</v>
      </c>
      <c r="H71" t="str">
        <f t="shared" si="3"/>
        <v>Aug-2024</v>
      </c>
    </row>
    <row r="72" spans="1:8" x14ac:dyDescent="0.3">
      <c r="A72" t="s">
        <v>77</v>
      </c>
      <c r="B72" t="s">
        <v>270</v>
      </c>
      <c r="C72" t="s">
        <v>379</v>
      </c>
      <c r="D72">
        <v>10</v>
      </c>
      <c r="E72" s="2">
        <v>37396</v>
      </c>
      <c r="F72" t="s">
        <v>382</v>
      </c>
      <c r="G72">
        <f t="shared" si="4"/>
        <v>373960</v>
      </c>
      <c r="H72" t="str">
        <f t="shared" si="3"/>
        <v>Jan-2024</v>
      </c>
    </row>
    <row r="73" spans="1:8" x14ac:dyDescent="0.3">
      <c r="A73" t="s">
        <v>78</v>
      </c>
      <c r="B73" t="s">
        <v>271</v>
      </c>
      <c r="C73" t="s">
        <v>373</v>
      </c>
      <c r="D73">
        <v>4</v>
      </c>
      <c r="E73" s="2">
        <v>33653</v>
      </c>
      <c r="F73" t="s">
        <v>381</v>
      </c>
      <c r="G73">
        <f t="shared" si="4"/>
        <v>134612</v>
      </c>
      <c r="H73" t="str">
        <f t="shared" si="3"/>
        <v>Feb-2024</v>
      </c>
    </row>
    <row r="74" spans="1:8" x14ac:dyDescent="0.3">
      <c r="A74" t="s">
        <v>79</v>
      </c>
      <c r="B74" t="s">
        <v>272</v>
      </c>
      <c r="C74" t="s">
        <v>378</v>
      </c>
      <c r="D74">
        <v>15</v>
      </c>
      <c r="E74" s="2">
        <v>5008</v>
      </c>
      <c r="F74" t="s">
        <v>384</v>
      </c>
      <c r="G74">
        <f t="shared" si="4"/>
        <v>75120</v>
      </c>
      <c r="H74" t="str">
        <f t="shared" si="3"/>
        <v>Mar-2024</v>
      </c>
    </row>
    <row r="75" spans="1:8" x14ac:dyDescent="0.3">
      <c r="A75" t="s">
        <v>80</v>
      </c>
      <c r="B75" t="s">
        <v>273</v>
      </c>
      <c r="C75" t="s">
        <v>376</v>
      </c>
      <c r="D75">
        <v>3</v>
      </c>
      <c r="E75" s="2">
        <v>29216</v>
      </c>
      <c r="F75" t="s">
        <v>381</v>
      </c>
      <c r="G75">
        <f t="shared" si="4"/>
        <v>87648</v>
      </c>
      <c r="H75" t="str">
        <f t="shared" si="3"/>
        <v>Jul-2024</v>
      </c>
    </row>
    <row r="76" spans="1:8" x14ac:dyDescent="0.3">
      <c r="A76" t="s">
        <v>81</v>
      </c>
      <c r="B76" t="s">
        <v>274</v>
      </c>
      <c r="C76" t="s">
        <v>373</v>
      </c>
      <c r="D76">
        <v>1</v>
      </c>
      <c r="E76" s="2">
        <v>44269</v>
      </c>
      <c r="F76" t="s">
        <v>381</v>
      </c>
      <c r="G76">
        <f t="shared" si="4"/>
        <v>44269</v>
      </c>
      <c r="H76" t="str">
        <f t="shared" si="3"/>
        <v>Nov-2024</v>
      </c>
    </row>
    <row r="77" spans="1:8" x14ac:dyDescent="0.3">
      <c r="A77" t="s">
        <v>82</v>
      </c>
      <c r="B77" t="s">
        <v>275</v>
      </c>
      <c r="C77" t="s">
        <v>371</v>
      </c>
      <c r="D77">
        <v>15</v>
      </c>
      <c r="E77" s="2">
        <v>9300</v>
      </c>
      <c r="F77" t="s">
        <v>381</v>
      </c>
      <c r="G77">
        <f t="shared" si="4"/>
        <v>139500</v>
      </c>
      <c r="H77" t="str">
        <f t="shared" si="3"/>
        <v>Dec-2024</v>
      </c>
    </row>
    <row r="78" spans="1:8" x14ac:dyDescent="0.3">
      <c r="A78" t="s">
        <v>83</v>
      </c>
      <c r="B78" t="s">
        <v>276</v>
      </c>
      <c r="C78" t="s">
        <v>371</v>
      </c>
      <c r="D78">
        <v>12</v>
      </c>
      <c r="E78" s="2">
        <v>36756</v>
      </c>
      <c r="F78" t="s">
        <v>384</v>
      </c>
      <c r="G78">
        <f t="shared" si="4"/>
        <v>441072</v>
      </c>
      <c r="H78" t="str">
        <f t="shared" si="3"/>
        <v>Feb-2024</v>
      </c>
    </row>
    <row r="79" spans="1:8" x14ac:dyDescent="0.3">
      <c r="A79" t="s">
        <v>84</v>
      </c>
      <c r="B79" t="s">
        <v>277</v>
      </c>
      <c r="C79" t="s">
        <v>376</v>
      </c>
      <c r="D79">
        <v>10</v>
      </c>
      <c r="E79" s="2">
        <v>14303</v>
      </c>
      <c r="F79" t="s">
        <v>381</v>
      </c>
      <c r="G79">
        <f t="shared" si="4"/>
        <v>143030</v>
      </c>
      <c r="H79" t="str">
        <f t="shared" si="3"/>
        <v>May-2024</v>
      </c>
    </row>
    <row r="80" spans="1:8" x14ac:dyDescent="0.3">
      <c r="A80" t="s">
        <v>85</v>
      </c>
      <c r="B80" t="s">
        <v>278</v>
      </c>
      <c r="C80" t="s">
        <v>376</v>
      </c>
      <c r="D80">
        <v>9</v>
      </c>
      <c r="E80" s="2">
        <v>32516</v>
      </c>
      <c r="F80" t="s">
        <v>381</v>
      </c>
      <c r="G80">
        <f t="shared" si="4"/>
        <v>292644</v>
      </c>
      <c r="H80" t="str">
        <f t="shared" si="3"/>
        <v>Apr-2024</v>
      </c>
    </row>
    <row r="81" spans="1:8" x14ac:dyDescent="0.3">
      <c r="A81" t="s">
        <v>86</v>
      </c>
      <c r="B81" t="s">
        <v>279</v>
      </c>
      <c r="C81" t="s">
        <v>371</v>
      </c>
      <c r="D81">
        <v>11</v>
      </c>
      <c r="E81" s="2">
        <v>28259</v>
      </c>
      <c r="F81" t="s">
        <v>381</v>
      </c>
      <c r="G81">
        <f t="shared" si="4"/>
        <v>310849</v>
      </c>
      <c r="H81" t="str">
        <f t="shared" si="3"/>
        <v>Jan-2024</v>
      </c>
    </row>
    <row r="82" spans="1:8" x14ac:dyDescent="0.3">
      <c r="A82" t="s">
        <v>87</v>
      </c>
      <c r="B82" t="s">
        <v>217</v>
      </c>
      <c r="C82" t="s">
        <v>374</v>
      </c>
      <c r="D82">
        <v>6</v>
      </c>
      <c r="E82" s="2">
        <v>9073</v>
      </c>
      <c r="F82" t="s">
        <v>381</v>
      </c>
      <c r="G82">
        <f t="shared" si="4"/>
        <v>54438</v>
      </c>
      <c r="H82" t="str">
        <f t="shared" si="3"/>
        <v>Jan-2024</v>
      </c>
    </row>
    <row r="83" spans="1:8" x14ac:dyDescent="0.3">
      <c r="A83" t="s">
        <v>88</v>
      </c>
      <c r="B83" t="s">
        <v>280</v>
      </c>
      <c r="C83" t="s">
        <v>379</v>
      </c>
      <c r="D83">
        <v>9</v>
      </c>
      <c r="E83" s="2">
        <v>46746</v>
      </c>
      <c r="F83" t="s">
        <v>383</v>
      </c>
      <c r="G83">
        <f t="shared" si="4"/>
        <v>420714</v>
      </c>
      <c r="H83" t="str">
        <f t="shared" si="3"/>
        <v>Mar-2024</v>
      </c>
    </row>
    <row r="84" spans="1:8" x14ac:dyDescent="0.3">
      <c r="A84" t="s">
        <v>89</v>
      </c>
      <c r="B84" t="s">
        <v>281</v>
      </c>
      <c r="C84" t="s">
        <v>374</v>
      </c>
      <c r="D84">
        <v>2</v>
      </c>
      <c r="E84" s="2">
        <v>5431</v>
      </c>
      <c r="F84" t="s">
        <v>384</v>
      </c>
      <c r="G84">
        <f t="shared" si="4"/>
        <v>10862</v>
      </c>
      <c r="H84" t="str">
        <f t="shared" si="3"/>
        <v>Oct-2024</v>
      </c>
    </row>
    <row r="85" spans="1:8" x14ac:dyDescent="0.3">
      <c r="A85" t="s">
        <v>90</v>
      </c>
      <c r="B85" t="s">
        <v>282</v>
      </c>
      <c r="C85" t="s">
        <v>374</v>
      </c>
      <c r="D85">
        <v>14</v>
      </c>
      <c r="E85" s="2">
        <v>24696</v>
      </c>
      <c r="F85" t="s">
        <v>384</v>
      </c>
      <c r="G85">
        <f t="shared" si="4"/>
        <v>345744</v>
      </c>
      <c r="H85" t="str">
        <f t="shared" si="3"/>
        <v>Oct-2024</v>
      </c>
    </row>
    <row r="86" spans="1:8" x14ac:dyDescent="0.3">
      <c r="A86" t="s">
        <v>91</v>
      </c>
      <c r="B86" t="s">
        <v>283</v>
      </c>
      <c r="C86" t="s">
        <v>380</v>
      </c>
      <c r="D86">
        <v>1</v>
      </c>
      <c r="E86" s="2">
        <v>20702</v>
      </c>
      <c r="F86" t="s">
        <v>381</v>
      </c>
      <c r="G86">
        <f t="shared" si="4"/>
        <v>20702</v>
      </c>
      <c r="H86" t="str">
        <f t="shared" si="3"/>
        <v>Aug-2024</v>
      </c>
    </row>
    <row r="87" spans="1:8" x14ac:dyDescent="0.3">
      <c r="A87" t="s">
        <v>92</v>
      </c>
      <c r="B87" t="s">
        <v>284</v>
      </c>
      <c r="C87" t="s">
        <v>378</v>
      </c>
      <c r="D87">
        <v>4</v>
      </c>
      <c r="E87" s="2">
        <v>45199</v>
      </c>
      <c r="F87" t="s">
        <v>384</v>
      </c>
      <c r="G87">
        <f t="shared" si="4"/>
        <v>180796</v>
      </c>
      <c r="H87" t="str">
        <f t="shared" si="3"/>
        <v>Jan-2024</v>
      </c>
    </row>
    <row r="88" spans="1:8" x14ac:dyDescent="0.3">
      <c r="A88" t="s">
        <v>93</v>
      </c>
      <c r="B88" t="s">
        <v>285</v>
      </c>
      <c r="C88" t="s">
        <v>371</v>
      </c>
      <c r="D88">
        <v>6</v>
      </c>
      <c r="E88" s="2">
        <v>37192</v>
      </c>
      <c r="F88" t="s">
        <v>383</v>
      </c>
      <c r="G88">
        <f t="shared" si="4"/>
        <v>223152</v>
      </c>
      <c r="H88" t="str">
        <f t="shared" si="3"/>
        <v>Dec-2024</v>
      </c>
    </row>
    <row r="89" spans="1:8" x14ac:dyDescent="0.3">
      <c r="A89" t="s">
        <v>94</v>
      </c>
      <c r="B89" t="s">
        <v>266</v>
      </c>
      <c r="C89" t="s">
        <v>380</v>
      </c>
      <c r="D89">
        <v>15</v>
      </c>
      <c r="E89" s="2">
        <v>16014</v>
      </c>
      <c r="F89" t="s">
        <v>384</v>
      </c>
      <c r="G89">
        <f t="shared" si="4"/>
        <v>240210</v>
      </c>
      <c r="H89" t="str">
        <f t="shared" si="3"/>
        <v>Nov-2024</v>
      </c>
    </row>
    <row r="90" spans="1:8" x14ac:dyDescent="0.3">
      <c r="A90" t="s">
        <v>95</v>
      </c>
      <c r="B90" t="s">
        <v>286</v>
      </c>
      <c r="C90" t="s">
        <v>377</v>
      </c>
      <c r="D90">
        <v>1</v>
      </c>
      <c r="E90" s="2">
        <v>12254</v>
      </c>
      <c r="F90" t="s">
        <v>381</v>
      </c>
      <c r="G90">
        <f t="shared" si="4"/>
        <v>12254</v>
      </c>
      <c r="H90" t="str">
        <f t="shared" si="3"/>
        <v>Mar-2024</v>
      </c>
    </row>
    <row r="91" spans="1:8" x14ac:dyDescent="0.3">
      <c r="A91" t="s">
        <v>96</v>
      </c>
      <c r="B91" t="s">
        <v>287</v>
      </c>
      <c r="C91" t="s">
        <v>372</v>
      </c>
      <c r="D91">
        <v>5</v>
      </c>
      <c r="E91" s="2">
        <v>10933</v>
      </c>
      <c r="F91" t="s">
        <v>382</v>
      </c>
      <c r="G91">
        <f t="shared" si="4"/>
        <v>54665</v>
      </c>
      <c r="H91" t="str">
        <f t="shared" si="3"/>
        <v>Jul-2024</v>
      </c>
    </row>
    <row r="92" spans="1:8" x14ac:dyDescent="0.3">
      <c r="A92" t="s">
        <v>97</v>
      </c>
      <c r="B92" t="s">
        <v>288</v>
      </c>
      <c r="C92" t="s">
        <v>374</v>
      </c>
      <c r="D92">
        <v>14</v>
      </c>
      <c r="E92" s="2">
        <v>31347</v>
      </c>
      <c r="F92" t="s">
        <v>384</v>
      </c>
      <c r="G92">
        <f t="shared" si="4"/>
        <v>438858</v>
      </c>
      <c r="H92" t="str">
        <f t="shared" si="3"/>
        <v>Jul-2024</v>
      </c>
    </row>
    <row r="93" spans="1:8" x14ac:dyDescent="0.3">
      <c r="A93" t="s">
        <v>98</v>
      </c>
      <c r="B93" t="s">
        <v>289</v>
      </c>
      <c r="C93" t="s">
        <v>379</v>
      </c>
      <c r="D93">
        <v>6</v>
      </c>
      <c r="E93" s="2">
        <v>20500</v>
      </c>
      <c r="F93" t="s">
        <v>384</v>
      </c>
      <c r="G93">
        <f t="shared" si="4"/>
        <v>123000</v>
      </c>
      <c r="H93" t="str">
        <f t="shared" si="3"/>
        <v>Apr-2024</v>
      </c>
    </row>
    <row r="94" spans="1:8" x14ac:dyDescent="0.3">
      <c r="A94" t="s">
        <v>99</v>
      </c>
      <c r="B94" t="s">
        <v>290</v>
      </c>
      <c r="C94" t="s">
        <v>374</v>
      </c>
      <c r="D94">
        <v>11</v>
      </c>
      <c r="E94" s="2">
        <v>13156</v>
      </c>
      <c r="F94" t="s">
        <v>383</v>
      </c>
      <c r="G94">
        <f t="shared" si="4"/>
        <v>144716</v>
      </c>
      <c r="H94" t="str">
        <f t="shared" si="3"/>
        <v>Apr-2024</v>
      </c>
    </row>
    <row r="95" spans="1:8" x14ac:dyDescent="0.3">
      <c r="A95" t="s">
        <v>100</v>
      </c>
      <c r="B95" t="s">
        <v>291</v>
      </c>
      <c r="C95" t="s">
        <v>376</v>
      </c>
      <c r="D95">
        <v>14</v>
      </c>
      <c r="E95" s="2">
        <v>5049</v>
      </c>
      <c r="F95" t="s">
        <v>381</v>
      </c>
      <c r="G95">
        <f t="shared" si="4"/>
        <v>70686</v>
      </c>
      <c r="H95" t="str">
        <f t="shared" si="3"/>
        <v>Jun-2024</v>
      </c>
    </row>
    <row r="96" spans="1:8" x14ac:dyDescent="0.3">
      <c r="A96" t="s">
        <v>101</v>
      </c>
      <c r="B96" t="s">
        <v>292</v>
      </c>
      <c r="C96" t="s">
        <v>373</v>
      </c>
      <c r="D96">
        <v>7</v>
      </c>
      <c r="E96" s="2">
        <v>45032</v>
      </c>
      <c r="F96" t="s">
        <v>381</v>
      </c>
      <c r="G96">
        <f t="shared" si="4"/>
        <v>315224</v>
      </c>
      <c r="H96" t="str">
        <f t="shared" si="3"/>
        <v>Jun-2024</v>
      </c>
    </row>
    <row r="97" spans="1:8" x14ac:dyDescent="0.3">
      <c r="A97" t="s">
        <v>102</v>
      </c>
      <c r="B97" t="s">
        <v>293</v>
      </c>
      <c r="C97" t="s">
        <v>371</v>
      </c>
      <c r="D97">
        <v>15</v>
      </c>
      <c r="E97" s="2">
        <v>17618</v>
      </c>
      <c r="F97" t="s">
        <v>384</v>
      </c>
      <c r="G97">
        <f t="shared" si="4"/>
        <v>264270</v>
      </c>
      <c r="H97" t="str">
        <f t="shared" si="3"/>
        <v>Jan-2024</v>
      </c>
    </row>
    <row r="98" spans="1:8" x14ac:dyDescent="0.3">
      <c r="A98" t="s">
        <v>103</v>
      </c>
      <c r="B98" t="s">
        <v>294</v>
      </c>
      <c r="C98" t="s">
        <v>376</v>
      </c>
      <c r="D98">
        <v>1</v>
      </c>
      <c r="E98" s="2">
        <v>7604</v>
      </c>
      <c r="F98" t="s">
        <v>383</v>
      </c>
      <c r="G98">
        <f t="shared" si="4"/>
        <v>7604</v>
      </c>
      <c r="H98" t="str">
        <f t="shared" ref="H98:H129" si="5">TEXT(B98,"mmm-yyyy")</f>
        <v>Oct-2024</v>
      </c>
    </row>
    <row r="99" spans="1:8" x14ac:dyDescent="0.3">
      <c r="A99" t="s">
        <v>104</v>
      </c>
      <c r="B99" t="s">
        <v>295</v>
      </c>
      <c r="C99" t="s">
        <v>378</v>
      </c>
      <c r="D99">
        <v>7</v>
      </c>
      <c r="E99" s="2">
        <v>40228</v>
      </c>
      <c r="F99" t="s">
        <v>382</v>
      </c>
      <c r="G99">
        <f t="shared" si="4"/>
        <v>281596</v>
      </c>
      <c r="H99" t="str">
        <f t="shared" si="5"/>
        <v>Jun-2024</v>
      </c>
    </row>
    <row r="100" spans="1:8" x14ac:dyDescent="0.3">
      <c r="A100" t="s">
        <v>105</v>
      </c>
      <c r="B100" t="s">
        <v>296</v>
      </c>
      <c r="C100" t="s">
        <v>375</v>
      </c>
      <c r="D100">
        <v>4</v>
      </c>
      <c r="E100" s="2">
        <v>17193</v>
      </c>
      <c r="F100" t="s">
        <v>382</v>
      </c>
      <c r="G100">
        <f t="shared" si="4"/>
        <v>68772</v>
      </c>
      <c r="H100" t="str">
        <f t="shared" si="5"/>
        <v>Jul-2024</v>
      </c>
    </row>
    <row r="101" spans="1:8" x14ac:dyDescent="0.3">
      <c r="A101" t="s">
        <v>106</v>
      </c>
      <c r="B101" t="s">
        <v>297</v>
      </c>
      <c r="C101" t="s">
        <v>377</v>
      </c>
      <c r="D101">
        <v>1</v>
      </c>
      <c r="E101" s="2">
        <v>34573</v>
      </c>
      <c r="F101" t="s">
        <v>384</v>
      </c>
      <c r="G101">
        <f t="shared" si="4"/>
        <v>34573</v>
      </c>
      <c r="H101" t="str">
        <f t="shared" si="5"/>
        <v>Dec-2024</v>
      </c>
    </row>
    <row r="102" spans="1:8" x14ac:dyDescent="0.3">
      <c r="A102" t="s">
        <v>107</v>
      </c>
      <c r="B102" t="s">
        <v>298</v>
      </c>
      <c r="C102" t="s">
        <v>377</v>
      </c>
      <c r="D102">
        <v>2</v>
      </c>
      <c r="E102" s="2">
        <v>44031</v>
      </c>
      <c r="F102" t="s">
        <v>381</v>
      </c>
      <c r="G102">
        <f t="shared" si="4"/>
        <v>88062</v>
      </c>
      <c r="H102" t="str">
        <f t="shared" si="5"/>
        <v>Jul-2024</v>
      </c>
    </row>
    <row r="103" spans="1:8" x14ac:dyDescent="0.3">
      <c r="A103" t="s">
        <v>108</v>
      </c>
      <c r="B103" t="s">
        <v>299</v>
      </c>
      <c r="C103" t="s">
        <v>378</v>
      </c>
      <c r="D103">
        <v>11</v>
      </c>
      <c r="E103" s="2">
        <v>8667</v>
      </c>
      <c r="F103" t="s">
        <v>381</v>
      </c>
      <c r="G103">
        <f t="shared" si="4"/>
        <v>95337</v>
      </c>
      <c r="H103" t="str">
        <f t="shared" si="5"/>
        <v>Nov-2024</v>
      </c>
    </row>
    <row r="104" spans="1:8" x14ac:dyDescent="0.3">
      <c r="A104" t="s">
        <v>109</v>
      </c>
      <c r="B104" t="s">
        <v>300</v>
      </c>
      <c r="C104" t="s">
        <v>376</v>
      </c>
      <c r="D104">
        <v>11</v>
      </c>
      <c r="E104" s="2">
        <v>27264</v>
      </c>
      <c r="F104" t="s">
        <v>381</v>
      </c>
      <c r="G104">
        <f t="shared" si="4"/>
        <v>299904</v>
      </c>
      <c r="H104" t="str">
        <f t="shared" si="5"/>
        <v>Sep-2024</v>
      </c>
    </row>
    <row r="105" spans="1:8" x14ac:dyDescent="0.3">
      <c r="A105" t="s">
        <v>110</v>
      </c>
      <c r="B105" t="s">
        <v>301</v>
      </c>
      <c r="C105" t="s">
        <v>376</v>
      </c>
      <c r="D105">
        <v>9</v>
      </c>
      <c r="E105" s="2">
        <v>8841</v>
      </c>
      <c r="F105" t="s">
        <v>384</v>
      </c>
      <c r="G105">
        <f t="shared" si="4"/>
        <v>79569</v>
      </c>
      <c r="H105" t="str">
        <f t="shared" si="5"/>
        <v>Jul-2024</v>
      </c>
    </row>
    <row r="106" spans="1:8" x14ac:dyDescent="0.3">
      <c r="A106" t="s">
        <v>111</v>
      </c>
      <c r="B106" t="s">
        <v>302</v>
      </c>
      <c r="C106" t="s">
        <v>377</v>
      </c>
      <c r="D106">
        <v>11</v>
      </c>
      <c r="E106" s="2">
        <v>49529</v>
      </c>
      <c r="F106" t="s">
        <v>384</v>
      </c>
      <c r="G106">
        <f t="shared" si="4"/>
        <v>544819</v>
      </c>
      <c r="H106" t="str">
        <f t="shared" si="5"/>
        <v>Aug-2024</v>
      </c>
    </row>
    <row r="107" spans="1:8" x14ac:dyDescent="0.3">
      <c r="A107" t="s">
        <v>112</v>
      </c>
      <c r="B107" t="s">
        <v>303</v>
      </c>
      <c r="C107" t="s">
        <v>375</v>
      </c>
      <c r="D107">
        <v>5</v>
      </c>
      <c r="E107" s="2">
        <v>27112</v>
      </c>
      <c r="F107" t="s">
        <v>382</v>
      </c>
      <c r="G107">
        <f t="shared" si="4"/>
        <v>135560</v>
      </c>
      <c r="H107" t="str">
        <f t="shared" si="5"/>
        <v>Nov-2024</v>
      </c>
    </row>
    <row r="108" spans="1:8" x14ac:dyDescent="0.3">
      <c r="A108" t="s">
        <v>113</v>
      </c>
      <c r="B108" t="s">
        <v>304</v>
      </c>
      <c r="C108" t="s">
        <v>376</v>
      </c>
      <c r="D108">
        <v>4</v>
      </c>
      <c r="E108" s="2">
        <v>28673</v>
      </c>
      <c r="F108" t="s">
        <v>381</v>
      </c>
      <c r="G108">
        <f t="shared" si="4"/>
        <v>114692</v>
      </c>
      <c r="H108" t="str">
        <f t="shared" si="5"/>
        <v>Jun-2024</v>
      </c>
    </row>
    <row r="109" spans="1:8" x14ac:dyDescent="0.3">
      <c r="A109" t="s">
        <v>114</v>
      </c>
      <c r="B109" t="s">
        <v>305</v>
      </c>
      <c r="C109" t="s">
        <v>379</v>
      </c>
      <c r="D109">
        <v>8</v>
      </c>
      <c r="E109" s="2">
        <v>44777</v>
      </c>
      <c r="F109" t="s">
        <v>384</v>
      </c>
      <c r="G109">
        <f t="shared" si="4"/>
        <v>358216</v>
      </c>
      <c r="H109" t="str">
        <f t="shared" si="5"/>
        <v>Aug-2024</v>
      </c>
    </row>
    <row r="110" spans="1:8" x14ac:dyDescent="0.3">
      <c r="A110" t="s">
        <v>115</v>
      </c>
      <c r="B110" t="s">
        <v>306</v>
      </c>
      <c r="C110" t="s">
        <v>379</v>
      </c>
      <c r="D110">
        <v>13</v>
      </c>
      <c r="E110" s="2">
        <v>48731</v>
      </c>
      <c r="F110" t="s">
        <v>384</v>
      </c>
      <c r="G110">
        <f t="shared" si="4"/>
        <v>633503</v>
      </c>
      <c r="H110" t="str">
        <f t="shared" si="5"/>
        <v>Sep-2024</v>
      </c>
    </row>
    <row r="111" spans="1:8" x14ac:dyDescent="0.3">
      <c r="A111" t="s">
        <v>116</v>
      </c>
      <c r="B111" t="s">
        <v>243</v>
      </c>
      <c r="C111" t="s">
        <v>371</v>
      </c>
      <c r="D111">
        <v>5</v>
      </c>
      <c r="E111" s="2">
        <v>34280</v>
      </c>
      <c r="F111" t="s">
        <v>381</v>
      </c>
      <c r="G111">
        <f t="shared" si="4"/>
        <v>171400</v>
      </c>
      <c r="H111" t="str">
        <f t="shared" si="5"/>
        <v>Dec-2024</v>
      </c>
    </row>
    <row r="112" spans="1:8" x14ac:dyDescent="0.3">
      <c r="A112" t="s">
        <v>117</v>
      </c>
      <c r="B112" t="s">
        <v>307</v>
      </c>
      <c r="C112" t="s">
        <v>372</v>
      </c>
      <c r="D112">
        <v>11</v>
      </c>
      <c r="E112" s="2">
        <v>20843</v>
      </c>
      <c r="F112" t="s">
        <v>384</v>
      </c>
      <c r="G112">
        <f t="shared" si="4"/>
        <v>229273</v>
      </c>
      <c r="H112" t="str">
        <f t="shared" si="5"/>
        <v>Feb-2024</v>
      </c>
    </row>
    <row r="113" spans="1:8" x14ac:dyDescent="0.3">
      <c r="A113" t="s">
        <v>118</v>
      </c>
      <c r="B113" t="s">
        <v>308</v>
      </c>
      <c r="C113" t="s">
        <v>380</v>
      </c>
      <c r="D113">
        <v>1</v>
      </c>
      <c r="E113" s="2">
        <v>3528</v>
      </c>
      <c r="F113" t="s">
        <v>384</v>
      </c>
      <c r="G113">
        <f t="shared" si="4"/>
        <v>3528</v>
      </c>
      <c r="H113" t="str">
        <f t="shared" si="5"/>
        <v>Apr-2024</v>
      </c>
    </row>
    <row r="114" spans="1:8" x14ac:dyDescent="0.3">
      <c r="A114" t="s">
        <v>119</v>
      </c>
      <c r="B114" t="s">
        <v>309</v>
      </c>
      <c r="C114" t="s">
        <v>375</v>
      </c>
      <c r="D114">
        <v>14</v>
      </c>
      <c r="E114" s="2">
        <v>5272</v>
      </c>
      <c r="F114" t="s">
        <v>383</v>
      </c>
      <c r="G114">
        <f t="shared" si="4"/>
        <v>73808</v>
      </c>
      <c r="H114" t="str">
        <f t="shared" si="5"/>
        <v>Aug-2024</v>
      </c>
    </row>
    <row r="115" spans="1:8" x14ac:dyDescent="0.3">
      <c r="A115" t="s">
        <v>120</v>
      </c>
      <c r="B115" t="s">
        <v>310</v>
      </c>
      <c r="C115" t="s">
        <v>375</v>
      </c>
      <c r="D115">
        <v>4</v>
      </c>
      <c r="E115" s="2">
        <v>47577</v>
      </c>
      <c r="F115" t="s">
        <v>383</v>
      </c>
      <c r="G115">
        <f t="shared" si="4"/>
        <v>190308</v>
      </c>
      <c r="H115" t="str">
        <f t="shared" si="5"/>
        <v>Jul-2024</v>
      </c>
    </row>
    <row r="116" spans="1:8" x14ac:dyDescent="0.3">
      <c r="A116" t="s">
        <v>121</v>
      </c>
      <c r="B116" t="s">
        <v>311</v>
      </c>
      <c r="C116" t="s">
        <v>377</v>
      </c>
      <c r="D116">
        <v>4</v>
      </c>
      <c r="E116" s="2">
        <v>10171</v>
      </c>
      <c r="F116" t="s">
        <v>382</v>
      </c>
      <c r="G116">
        <f t="shared" si="4"/>
        <v>40684</v>
      </c>
      <c r="H116" t="str">
        <f t="shared" si="5"/>
        <v>Sep-2024</v>
      </c>
    </row>
    <row r="117" spans="1:8" x14ac:dyDescent="0.3">
      <c r="A117" t="s">
        <v>122</v>
      </c>
      <c r="B117" t="s">
        <v>312</v>
      </c>
      <c r="C117" t="s">
        <v>377</v>
      </c>
      <c r="D117">
        <v>4</v>
      </c>
      <c r="E117" s="2">
        <v>12026</v>
      </c>
      <c r="F117" t="s">
        <v>383</v>
      </c>
      <c r="G117">
        <f t="shared" si="4"/>
        <v>48104</v>
      </c>
      <c r="H117" t="str">
        <f t="shared" si="5"/>
        <v>Feb-2024</v>
      </c>
    </row>
    <row r="118" spans="1:8" x14ac:dyDescent="0.3">
      <c r="A118" t="s">
        <v>123</v>
      </c>
      <c r="B118" t="s">
        <v>257</v>
      </c>
      <c r="C118" t="s">
        <v>373</v>
      </c>
      <c r="D118">
        <v>4</v>
      </c>
      <c r="E118" s="2">
        <v>8453</v>
      </c>
      <c r="F118" t="s">
        <v>383</v>
      </c>
      <c r="G118">
        <f t="shared" si="4"/>
        <v>33812</v>
      </c>
      <c r="H118" t="str">
        <f t="shared" si="5"/>
        <v>Jan-2024</v>
      </c>
    </row>
    <row r="119" spans="1:8" x14ac:dyDescent="0.3">
      <c r="A119" t="s">
        <v>124</v>
      </c>
      <c r="B119" t="s">
        <v>313</v>
      </c>
      <c r="C119" t="s">
        <v>379</v>
      </c>
      <c r="D119">
        <v>11</v>
      </c>
      <c r="E119" s="2">
        <v>35308</v>
      </c>
      <c r="F119" t="s">
        <v>381</v>
      </c>
      <c r="G119">
        <f t="shared" si="4"/>
        <v>388388</v>
      </c>
      <c r="H119" t="str">
        <f t="shared" si="5"/>
        <v>Mar-2024</v>
      </c>
    </row>
    <row r="120" spans="1:8" x14ac:dyDescent="0.3">
      <c r="A120" t="s">
        <v>125</v>
      </c>
      <c r="B120" t="s">
        <v>314</v>
      </c>
      <c r="C120" t="s">
        <v>375</v>
      </c>
      <c r="D120">
        <v>14</v>
      </c>
      <c r="E120" s="2">
        <v>47638</v>
      </c>
      <c r="F120" t="s">
        <v>383</v>
      </c>
      <c r="G120">
        <f t="shared" si="4"/>
        <v>666932</v>
      </c>
      <c r="H120" t="str">
        <f t="shared" si="5"/>
        <v>Aug-2024</v>
      </c>
    </row>
    <row r="121" spans="1:8" x14ac:dyDescent="0.3">
      <c r="A121" t="s">
        <v>126</v>
      </c>
      <c r="B121" t="s">
        <v>315</v>
      </c>
      <c r="C121" t="s">
        <v>379</v>
      </c>
      <c r="D121">
        <v>15</v>
      </c>
      <c r="E121" s="2">
        <v>10930</v>
      </c>
      <c r="F121" t="s">
        <v>383</v>
      </c>
      <c r="G121">
        <f t="shared" si="4"/>
        <v>163950</v>
      </c>
      <c r="H121" t="str">
        <f t="shared" si="5"/>
        <v>Oct-2024</v>
      </c>
    </row>
    <row r="122" spans="1:8" x14ac:dyDescent="0.3">
      <c r="A122" t="s">
        <v>127</v>
      </c>
      <c r="B122" t="s">
        <v>316</v>
      </c>
      <c r="C122" t="s">
        <v>376</v>
      </c>
      <c r="D122">
        <v>13</v>
      </c>
      <c r="E122" s="2">
        <v>16703</v>
      </c>
      <c r="F122" t="s">
        <v>381</v>
      </c>
      <c r="G122">
        <f t="shared" si="4"/>
        <v>217139</v>
      </c>
      <c r="H122" t="str">
        <f t="shared" si="5"/>
        <v>Aug-2024</v>
      </c>
    </row>
    <row r="123" spans="1:8" x14ac:dyDescent="0.3">
      <c r="A123" t="s">
        <v>128</v>
      </c>
      <c r="B123" t="s">
        <v>317</v>
      </c>
      <c r="C123" t="s">
        <v>379</v>
      </c>
      <c r="D123">
        <v>11</v>
      </c>
      <c r="E123" s="2">
        <v>16179</v>
      </c>
      <c r="F123" t="s">
        <v>381</v>
      </c>
      <c r="G123">
        <f t="shared" si="4"/>
        <v>177969</v>
      </c>
      <c r="H123" t="str">
        <f t="shared" si="5"/>
        <v>Sep-2024</v>
      </c>
    </row>
    <row r="124" spans="1:8" x14ac:dyDescent="0.3">
      <c r="A124" t="s">
        <v>129</v>
      </c>
      <c r="B124" t="s">
        <v>318</v>
      </c>
      <c r="C124" t="s">
        <v>371</v>
      </c>
      <c r="D124">
        <v>12</v>
      </c>
      <c r="E124" s="2">
        <v>19225</v>
      </c>
      <c r="F124" t="s">
        <v>384</v>
      </c>
      <c r="G124">
        <f t="shared" si="4"/>
        <v>230700</v>
      </c>
      <c r="H124" t="str">
        <f t="shared" si="5"/>
        <v>Aug-2024</v>
      </c>
    </row>
    <row r="125" spans="1:8" x14ac:dyDescent="0.3">
      <c r="A125" t="s">
        <v>130</v>
      </c>
      <c r="B125" t="s">
        <v>277</v>
      </c>
      <c r="C125" t="s">
        <v>378</v>
      </c>
      <c r="D125">
        <v>6</v>
      </c>
      <c r="E125" s="2">
        <v>35899</v>
      </c>
      <c r="F125" t="s">
        <v>382</v>
      </c>
      <c r="G125">
        <f t="shared" si="4"/>
        <v>215394</v>
      </c>
      <c r="H125" t="str">
        <f t="shared" si="5"/>
        <v>May-2024</v>
      </c>
    </row>
    <row r="126" spans="1:8" x14ac:dyDescent="0.3">
      <c r="A126" t="s">
        <v>131</v>
      </c>
      <c r="B126" t="s">
        <v>319</v>
      </c>
      <c r="C126" t="s">
        <v>380</v>
      </c>
      <c r="D126">
        <v>4</v>
      </c>
      <c r="E126" s="2">
        <v>25602</v>
      </c>
      <c r="F126" t="s">
        <v>384</v>
      </c>
      <c r="G126">
        <f t="shared" si="4"/>
        <v>102408</v>
      </c>
      <c r="H126" t="str">
        <f t="shared" si="5"/>
        <v>Mar-2024</v>
      </c>
    </row>
    <row r="127" spans="1:8" x14ac:dyDescent="0.3">
      <c r="A127" t="s">
        <v>132</v>
      </c>
      <c r="B127" t="s">
        <v>320</v>
      </c>
      <c r="C127" t="s">
        <v>372</v>
      </c>
      <c r="D127">
        <v>2</v>
      </c>
      <c r="E127" s="2">
        <v>27688</v>
      </c>
      <c r="F127" t="s">
        <v>383</v>
      </c>
      <c r="G127">
        <f t="shared" si="4"/>
        <v>55376</v>
      </c>
      <c r="H127" t="str">
        <f t="shared" si="5"/>
        <v>Dec-2024</v>
      </c>
    </row>
    <row r="128" spans="1:8" x14ac:dyDescent="0.3">
      <c r="A128" t="s">
        <v>133</v>
      </c>
      <c r="B128" t="s">
        <v>321</v>
      </c>
      <c r="C128" t="s">
        <v>373</v>
      </c>
      <c r="D128">
        <v>8</v>
      </c>
      <c r="E128" s="2">
        <v>27748</v>
      </c>
      <c r="F128" t="s">
        <v>382</v>
      </c>
      <c r="G128">
        <f t="shared" si="4"/>
        <v>221984</v>
      </c>
      <c r="H128" t="str">
        <f t="shared" si="5"/>
        <v>Jun-2024</v>
      </c>
    </row>
    <row r="129" spans="1:8" x14ac:dyDescent="0.3">
      <c r="A129" t="s">
        <v>134</v>
      </c>
      <c r="B129" t="s">
        <v>322</v>
      </c>
      <c r="C129" t="s">
        <v>377</v>
      </c>
      <c r="D129">
        <v>7</v>
      </c>
      <c r="E129" s="2">
        <v>38778</v>
      </c>
      <c r="F129" t="s">
        <v>382</v>
      </c>
      <c r="G129">
        <f t="shared" si="4"/>
        <v>271446</v>
      </c>
      <c r="H129" t="str">
        <f t="shared" si="5"/>
        <v>Apr-2024</v>
      </c>
    </row>
    <row r="130" spans="1:8" x14ac:dyDescent="0.3">
      <c r="A130" t="s">
        <v>135</v>
      </c>
      <c r="B130" t="s">
        <v>323</v>
      </c>
      <c r="C130" t="s">
        <v>377</v>
      </c>
      <c r="D130">
        <v>8</v>
      </c>
      <c r="E130" s="2">
        <v>886</v>
      </c>
      <c r="F130" t="s">
        <v>381</v>
      </c>
      <c r="G130">
        <f t="shared" si="4"/>
        <v>7088</v>
      </c>
      <c r="H130" t="str">
        <f t="shared" ref="H130:H161" si="6">TEXT(B130,"mmm-yyyy")</f>
        <v>Oct-2024</v>
      </c>
    </row>
    <row r="131" spans="1:8" x14ac:dyDescent="0.3">
      <c r="A131" t="s">
        <v>136</v>
      </c>
      <c r="B131" t="s">
        <v>324</v>
      </c>
      <c r="C131" t="s">
        <v>377</v>
      </c>
      <c r="D131">
        <v>14</v>
      </c>
      <c r="E131" s="2">
        <v>27960</v>
      </c>
      <c r="F131" t="s">
        <v>384</v>
      </c>
      <c r="G131">
        <f t="shared" ref="G131:G194" si="7">E131*D131</f>
        <v>391440</v>
      </c>
      <c r="H131" t="str">
        <f t="shared" si="6"/>
        <v>Jun-2024</v>
      </c>
    </row>
    <row r="132" spans="1:8" x14ac:dyDescent="0.3">
      <c r="A132" t="s">
        <v>137</v>
      </c>
      <c r="B132" t="s">
        <v>325</v>
      </c>
      <c r="C132" t="s">
        <v>372</v>
      </c>
      <c r="D132">
        <v>5</v>
      </c>
      <c r="E132" s="2">
        <v>29062</v>
      </c>
      <c r="F132" t="s">
        <v>383</v>
      </c>
      <c r="G132">
        <f t="shared" si="7"/>
        <v>145310</v>
      </c>
      <c r="H132" t="str">
        <f t="shared" si="6"/>
        <v>Sep-2024</v>
      </c>
    </row>
    <row r="133" spans="1:8" x14ac:dyDescent="0.3">
      <c r="A133" t="s">
        <v>138</v>
      </c>
      <c r="B133" t="s">
        <v>293</v>
      </c>
      <c r="C133" t="s">
        <v>377</v>
      </c>
      <c r="D133">
        <v>6</v>
      </c>
      <c r="E133" s="2">
        <v>44335</v>
      </c>
      <c r="F133" t="s">
        <v>383</v>
      </c>
      <c r="G133">
        <f t="shared" si="7"/>
        <v>266010</v>
      </c>
      <c r="H133" t="str">
        <f t="shared" si="6"/>
        <v>Jan-2024</v>
      </c>
    </row>
    <row r="134" spans="1:8" x14ac:dyDescent="0.3">
      <c r="A134" t="s">
        <v>139</v>
      </c>
      <c r="B134" t="s">
        <v>326</v>
      </c>
      <c r="C134" t="s">
        <v>379</v>
      </c>
      <c r="D134">
        <v>15</v>
      </c>
      <c r="E134" s="2">
        <v>8864</v>
      </c>
      <c r="F134" t="s">
        <v>382</v>
      </c>
      <c r="G134">
        <f t="shared" si="7"/>
        <v>132960</v>
      </c>
      <c r="H134" t="str">
        <f t="shared" si="6"/>
        <v>Mar-2024</v>
      </c>
    </row>
    <row r="135" spans="1:8" x14ac:dyDescent="0.3">
      <c r="A135" t="s">
        <v>140</v>
      </c>
      <c r="B135" t="s">
        <v>327</v>
      </c>
      <c r="C135" t="s">
        <v>375</v>
      </c>
      <c r="D135">
        <v>10</v>
      </c>
      <c r="E135" s="2">
        <v>43950</v>
      </c>
      <c r="F135" t="s">
        <v>382</v>
      </c>
      <c r="G135">
        <f t="shared" si="7"/>
        <v>439500</v>
      </c>
      <c r="H135" t="str">
        <f t="shared" si="6"/>
        <v>Jul-2024</v>
      </c>
    </row>
    <row r="136" spans="1:8" x14ac:dyDescent="0.3">
      <c r="A136" t="s">
        <v>141</v>
      </c>
      <c r="B136" t="s">
        <v>328</v>
      </c>
      <c r="C136" t="s">
        <v>377</v>
      </c>
      <c r="D136">
        <v>3</v>
      </c>
      <c r="E136" s="2">
        <v>30757</v>
      </c>
      <c r="F136" t="s">
        <v>384</v>
      </c>
      <c r="G136">
        <f t="shared" si="7"/>
        <v>92271</v>
      </c>
      <c r="H136" t="str">
        <f t="shared" si="6"/>
        <v>Feb-2024</v>
      </c>
    </row>
    <row r="137" spans="1:8" x14ac:dyDescent="0.3">
      <c r="A137" t="s">
        <v>142</v>
      </c>
      <c r="B137" t="s">
        <v>257</v>
      </c>
      <c r="C137" t="s">
        <v>376</v>
      </c>
      <c r="D137">
        <v>7</v>
      </c>
      <c r="E137" s="2">
        <v>21953</v>
      </c>
      <c r="F137" t="s">
        <v>384</v>
      </c>
      <c r="G137">
        <f t="shared" si="7"/>
        <v>153671</v>
      </c>
      <c r="H137" t="str">
        <f t="shared" si="6"/>
        <v>Jan-2024</v>
      </c>
    </row>
    <row r="138" spans="1:8" x14ac:dyDescent="0.3">
      <c r="A138" t="s">
        <v>143</v>
      </c>
      <c r="B138" t="s">
        <v>329</v>
      </c>
      <c r="C138" t="s">
        <v>378</v>
      </c>
      <c r="D138">
        <v>6</v>
      </c>
      <c r="E138" s="2">
        <v>25346</v>
      </c>
      <c r="F138" t="s">
        <v>381</v>
      </c>
      <c r="G138">
        <f t="shared" si="7"/>
        <v>152076</v>
      </c>
      <c r="H138" t="str">
        <f t="shared" si="6"/>
        <v>Aug-2024</v>
      </c>
    </row>
    <row r="139" spans="1:8" x14ac:dyDescent="0.3">
      <c r="A139" t="s">
        <v>144</v>
      </c>
      <c r="B139" t="s">
        <v>302</v>
      </c>
      <c r="C139" t="s">
        <v>376</v>
      </c>
      <c r="D139">
        <v>14</v>
      </c>
      <c r="E139" s="2">
        <v>5867</v>
      </c>
      <c r="F139" t="s">
        <v>383</v>
      </c>
      <c r="G139">
        <f t="shared" si="7"/>
        <v>82138</v>
      </c>
      <c r="H139" t="str">
        <f t="shared" si="6"/>
        <v>Aug-2024</v>
      </c>
    </row>
    <row r="140" spans="1:8" x14ac:dyDescent="0.3">
      <c r="A140" t="s">
        <v>145</v>
      </c>
      <c r="B140" t="s">
        <v>330</v>
      </c>
      <c r="C140" t="s">
        <v>373</v>
      </c>
      <c r="D140">
        <v>1</v>
      </c>
      <c r="E140" s="2">
        <v>23435</v>
      </c>
      <c r="F140" t="s">
        <v>384</v>
      </c>
      <c r="G140">
        <f t="shared" si="7"/>
        <v>23435</v>
      </c>
      <c r="H140" t="str">
        <f t="shared" si="6"/>
        <v>Jan-2024</v>
      </c>
    </row>
    <row r="141" spans="1:8" x14ac:dyDescent="0.3">
      <c r="A141" t="s">
        <v>146</v>
      </c>
      <c r="B141" t="s">
        <v>212</v>
      </c>
      <c r="C141" t="s">
        <v>371</v>
      </c>
      <c r="D141">
        <v>13</v>
      </c>
      <c r="E141" s="2">
        <v>43213</v>
      </c>
      <c r="F141" t="s">
        <v>382</v>
      </c>
      <c r="G141">
        <f t="shared" si="7"/>
        <v>561769</v>
      </c>
      <c r="H141" t="str">
        <f t="shared" si="6"/>
        <v>Nov-2024</v>
      </c>
    </row>
    <row r="142" spans="1:8" x14ac:dyDescent="0.3">
      <c r="A142" t="s">
        <v>147</v>
      </c>
      <c r="B142" t="s">
        <v>331</v>
      </c>
      <c r="C142" t="s">
        <v>372</v>
      </c>
      <c r="D142">
        <v>4</v>
      </c>
      <c r="E142" s="2">
        <v>1835</v>
      </c>
      <c r="F142" t="s">
        <v>384</v>
      </c>
      <c r="G142">
        <f t="shared" si="7"/>
        <v>7340</v>
      </c>
      <c r="H142" t="str">
        <f t="shared" si="6"/>
        <v>Jan-2024</v>
      </c>
    </row>
    <row r="143" spans="1:8" x14ac:dyDescent="0.3">
      <c r="A143" t="s">
        <v>148</v>
      </c>
      <c r="B143" t="s">
        <v>268</v>
      </c>
      <c r="C143" t="s">
        <v>380</v>
      </c>
      <c r="D143">
        <v>8</v>
      </c>
      <c r="E143" s="2">
        <v>44373</v>
      </c>
      <c r="F143" t="s">
        <v>382</v>
      </c>
      <c r="G143">
        <f t="shared" si="7"/>
        <v>354984</v>
      </c>
      <c r="H143" t="str">
        <f t="shared" si="6"/>
        <v>May-2024</v>
      </c>
    </row>
    <row r="144" spans="1:8" x14ac:dyDescent="0.3">
      <c r="A144" t="s">
        <v>149</v>
      </c>
      <c r="B144" t="s">
        <v>332</v>
      </c>
      <c r="C144" t="s">
        <v>372</v>
      </c>
      <c r="D144">
        <v>8</v>
      </c>
      <c r="E144" s="2">
        <v>46340</v>
      </c>
      <c r="F144" t="s">
        <v>381</v>
      </c>
      <c r="G144">
        <f t="shared" si="7"/>
        <v>370720</v>
      </c>
      <c r="H144" t="str">
        <f t="shared" si="6"/>
        <v>Oct-2024</v>
      </c>
    </row>
    <row r="145" spans="1:8" x14ac:dyDescent="0.3">
      <c r="A145" t="s">
        <v>150</v>
      </c>
      <c r="B145" t="s">
        <v>333</v>
      </c>
      <c r="C145" t="s">
        <v>380</v>
      </c>
      <c r="D145">
        <v>10</v>
      </c>
      <c r="E145" s="2">
        <v>40296</v>
      </c>
      <c r="F145" t="s">
        <v>382</v>
      </c>
      <c r="G145">
        <f t="shared" si="7"/>
        <v>402960</v>
      </c>
      <c r="H145" t="str">
        <f t="shared" si="6"/>
        <v>Jul-2024</v>
      </c>
    </row>
    <row r="146" spans="1:8" x14ac:dyDescent="0.3">
      <c r="A146" t="s">
        <v>151</v>
      </c>
      <c r="B146" t="s">
        <v>225</v>
      </c>
      <c r="C146" t="s">
        <v>376</v>
      </c>
      <c r="D146">
        <v>2</v>
      </c>
      <c r="E146" s="2">
        <v>38424</v>
      </c>
      <c r="F146" t="s">
        <v>382</v>
      </c>
      <c r="G146">
        <f t="shared" si="7"/>
        <v>76848</v>
      </c>
      <c r="H146" t="str">
        <f t="shared" si="6"/>
        <v>Mar-2024</v>
      </c>
    </row>
    <row r="147" spans="1:8" x14ac:dyDescent="0.3">
      <c r="A147" t="s">
        <v>152</v>
      </c>
      <c r="B147" t="s">
        <v>244</v>
      </c>
      <c r="C147" t="s">
        <v>375</v>
      </c>
      <c r="D147">
        <v>11</v>
      </c>
      <c r="E147" s="2">
        <v>25096</v>
      </c>
      <c r="F147" t="s">
        <v>383</v>
      </c>
      <c r="G147">
        <f t="shared" si="7"/>
        <v>276056</v>
      </c>
      <c r="H147" t="str">
        <f t="shared" si="6"/>
        <v>Jun-2024</v>
      </c>
    </row>
    <row r="148" spans="1:8" x14ac:dyDescent="0.3">
      <c r="A148" t="s">
        <v>153</v>
      </c>
      <c r="B148" t="s">
        <v>308</v>
      </c>
      <c r="C148" t="s">
        <v>371</v>
      </c>
      <c r="D148">
        <v>10</v>
      </c>
      <c r="E148" s="2">
        <v>45760</v>
      </c>
      <c r="F148" t="s">
        <v>384</v>
      </c>
      <c r="G148">
        <f t="shared" si="7"/>
        <v>457600</v>
      </c>
      <c r="H148" t="str">
        <f t="shared" si="6"/>
        <v>Apr-2024</v>
      </c>
    </row>
    <row r="149" spans="1:8" x14ac:dyDescent="0.3">
      <c r="A149" t="s">
        <v>154</v>
      </c>
      <c r="B149" t="s">
        <v>334</v>
      </c>
      <c r="C149" t="s">
        <v>376</v>
      </c>
      <c r="D149">
        <v>14</v>
      </c>
      <c r="E149" s="2">
        <v>45343</v>
      </c>
      <c r="F149" t="s">
        <v>382</v>
      </c>
      <c r="G149">
        <f t="shared" si="7"/>
        <v>634802</v>
      </c>
      <c r="H149" t="str">
        <f t="shared" si="6"/>
        <v>Feb-2024</v>
      </c>
    </row>
    <row r="150" spans="1:8" x14ac:dyDescent="0.3">
      <c r="A150" t="s">
        <v>155</v>
      </c>
      <c r="B150" t="s">
        <v>335</v>
      </c>
      <c r="C150" t="s">
        <v>374</v>
      </c>
      <c r="D150">
        <v>6</v>
      </c>
      <c r="E150" s="2">
        <v>35413</v>
      </c>
      <c r="F150" t="s">
        <v>383</v>
      </c>
      <c r="G150">
        <f t="shared" si="7"/>
        <v>212478</v>
      </c>
      <c r="H150" t="str">
        <f t="shared" si="6"/>
        <v>Oct-2024</v>
      </c>
    </row>
    <row r="151" spans="1:8" x14ac:dyDescent="0.3">
      <c r="A151" t="s">
        <v>156</v>
      </c>
      <c r="B151" t="s">
        <v>220</v>
      </c>
      <c r="C151" t="s">
        <v>378</v>
      </c>
      <c r="D151">
        <v>2</v>
      </c>
      <c r="E151" s="2">
        <v>33658</v>
      </c>
      <c r="F151" t="s">
        <v>381</v>
      </c>
      <c r="G151">
        <f t="shared" si="7"/>
        <v>67316</v>
      </c>
      <c r="H151" t="str">
        <f t="shared" si="6"/>
        <v>Dec-2024</v>
      </c>
    </row>
    <row r="152" spans="1:8" x14ac:dyDescent="0.3">
      <c r="A152" t="s">
        <v>157</v>
      </c>
      <c r="B152" t="s">
        <v>336</v>
      </c>
      <c r="C152" t="s">
        <v>377</v>
      </c>
      <c r="D152">
        <v>14</v>
      </c>
      <c r="E152" s="2">
        <v>32625</v>
      </c>
      <c r="F152" t="s">
        <v>382</v>
      </c>
      <c r="G152">
        <f t="shared" si="7"/>
        <v>456750</v>
      </c>
      <c r="H152" t="str">
        <f t="shared" si="6"/>
        <v>Jan-2024</v>
      </c>
    </row>
    <row r="153" spans="1:8" x14ac:dyDescent="0.3">
      <c r="A153" t="s">
        <v>158</v>
      </c>
      <c r="B153" t="s">
        <v>337</v>
      </c>
      <c r="C153" t="s">
        <v>378</v>
      </c>
      <c r="D153">
        <v>11</v>
      </c>
      <c r="E153" s="2">
        <v>30629</v>
      </c>
      <c r="F153" t="s">
        <v>384</v>
      </c>
      <c r="G153">
        <f t="shared" si="7"/>
        <v>336919</v>
      </c>
      <c r="H153" t="str">
        <f t="shared" si="6"/>
        <v>Aug-2024</v>
      </c>
    </row>
    <row r="154" spans="1:8" x14ac:dyDescent="0.3">
      <c r="A154" t="s">
        <v>159</v>
      </c>
      <c r="B154" t="s">
        <v>338</v>
      </c>
      <c r="C154" t="s">
        <v>380</v>
      </c>
      <c r="D154">
        <v>12</v>
      </c>
      <c r="E154" s="2">
        <v>34693</v>
      </c>
      <c r="F154" t="s">
        <v>381</v>
      </c>
      <c r="G154">
        <f t="shared" si="7"/>
        <v>416316</v>
      </c>
      <c r="H154" t="str">
        <f t="shared" si="6"/>
        <v>Aug-2024</v>
      </c>
    </row>
    <row r="155" spans="1:8" x14ac:dyDescent="0.3">
      <c r="A155" t="s">
        <v>160</v>
      </c>
      <c r="B155" t="s">
        <v>303</v>
      </c>
      <c r="C155" t="s">
        <v>373</v>
      </c>
      <c r="D155">
        <v>13</v>
      </c>
      <c r="E155" s="2">
        <v>32186</v>
      </c>
      <c r="F155" t="s">
        <v>383</v>
      </c>
      <c r="G155">
        <f t="shared" si="7"/>
        <v>418418</v>
      </c>
      <c r="H155" t="str">
        <f t="shared" si="6"/>
        <v>Nov-2024</v>
      </c>
    </row>
    <row r="156" spans="1:8" x14ac:dyDescent="0.3">
      <c r="A156" t="s">
        <v>161</v>
      </c>
      <c r="B156" t="s">
        <v>339</v>
      </c>
      <c r="C156" t="s">
        <v>375</v>
      </c>
      <c r="D156">
        <v>5</v>
      </c>
      <c r="E156" s="2">
        <v>21622</v>
      </c>
      <c r="F156" t="s">
        <v>384</v>
      </c>
      <c r="G156">
        <f t="shared" si="7"/>
        <v>108110</v>
      </c>
      <c r="H156" t="str">
        <f t="shared" si="6"/>
        <v>Aug-2024</v>
      </c>
    </row>
    <row r="157" spans="1:8" x14ac:dyDescent="0.3">
      <c r="A157" t="s">
        <v>162</v>
      </c>
      <c r="B157" t="s">
        <v>340</v>
      </c>
      <c r="C157" t="s">
        <v>376</v>
      </c>
      <c r="D157">
        <v>15</v>
      </c>
      <c r="E157" s="2">
        <v>30043</v>
      </c>
      <c r="F157" t="s">
        <v>384</v>
      </c>
      <c r="G157">
        <f t="shared" si="7"/>
        <v>450645</v>
      </c>
      <c r="H157" t="str">
        <f t="shared" si="6"/>
        <v>Feb-2024</v>
      </c>
    </row>
    <row r="158" spans="1:8" x14ac:dyDescent="0.3">
      <c r="A158" t="s">
        <v>163</v>
      </c>
      <c r="B158" t="s">
        <v>341</v>
      </c>
      <c r="C158" t="s">
        <v>375</v>
      </c>
      <c r="D158">
        <v>10</v>
      </c>
      <c r="E158" s="2">
        <v>44290</v>
      </c>
      <c r="F158" t="s">
        <v>383</v>
      </c>
      <c r="G158">
        <f t="shared" si="7"/>
        <v>442900</v>
      </c>
      <c r="H158" t="str">
        <f t="shared" si="6"/>
        <v>Aug-2024</v>
      </c>
    </row>
    <row r="159" spans="1:8" x14ac:dyDescent="0.3">
      <c r="A159" t="s">
        <v>164</v>
      </c>
      <c r="B159" t="s">
        <v>342</v>
      </c>
      <c r="C159" t="s">
        <v>374</v>
      </c>
      <c r="D159">
        <v>8</v>
      </c>
      <c r="E159" s="2">
        <v>21800</v>
      </c>
      <c r="F159" t="s">
        <v>384</v>
      </c>
      <c r="G159">
        <f t="shared" si="7"/>
        <v>174400</v>
      </c>
      <c r="H159" t="str">
        <f t="shared" si="6"/>
        <v>Jun-2024</v>
      </c>
    </row>
    <row r="160" spans="1:8" x14ac:dyDescent="0.3">
      <c r="A160" t="s">
        <v>165</v>
      </c>
      <c r="B160" t="s">
        <v>325</v>
      </c>
      <c r="C160" t="s">
        <v>372</v>
      </c>
      <c r="D160">
        <v>6</v>
      </c>
      <c r="E160" s="2">
        <v>17431</v>
      </c>
      <c r="F160" t="s">
        <v>381</v>
      </c>
      <c r="G160">
        <f t="shared" si="7"/>
        <v>104586</v>
      </c>
      <c r="H160" t="str">
        <f t="shared" si="6"/>
        <v>Sep-2024</v>
      </c>
    </row>
    <row r="161" spans="1:8" x14ac:dyDescent="0.3">
      <c r="A161" t="s">
        <v>166</v>
      </c>
      <c r="B161" t="s">
        <v>343</v>
      </c>
      <c r="C161" t="s">
        <v>375</v>
      </c>
      <c r="D161">
        <v>12</v>
      </c>
      <c r="E161" s="2">
        <v>18605</v>
      </c>
      <c r="F161" t="s">
        <v>382</v>
      </c>
      <c r="G161">
        <f t="shared" si="7"/>
        <v>223260</v>
      </c>
      <c r="H161" t="str">
        <f t="shared" si="6"/>
        <v>May-2024</v>
      </c>
    </row>
    <row r="162" spans="1:8" x14ac:dyDescent="0.3">
      <c r="A162" t="s">
        <v>167</v>
      </c>
      <c r="B162" t="s">
        <v>344</v>
      </c>
      <c r="C162" t="s">
        <v>372</v>
      </c>
      <c r="D162">
        <v>2</v>
      </c>
      <c r="E162" s="2">
        <v>16317</v>
      </c>
      <c r="F162" t="s">
        <v>383</v>
      </c>
      <c r="G162">
        <f t="shared" si="7"/>
        <v>32634</v>
      </c>
      <c r="H162" t="str">
        <f t="shared" ref="H162:H193" si="8">TEXT(B162,"mmm-yyyy")</f>
        <v>Sep-2024</v>
      </c>
    </row>
    <row r="163" spans="1:8" x14ac:dyDescent="0.3">
      <c r="A163" t="s">
        <v>168</v>
      </c>
      <c r="B163" t="s">
        <v>345</v>
      </c>
      <c r="C163" t="s">
        <v>373</v>
      </c>
      <c r="D163">
        <v>13</v>
      </c>
      <c r="E163" s="2">
        <v>16249</v>
      </c>
      <c r="F163" t="s">
        <v>383</v>
      </c>
      <c r="G163">
        <f t="shared" si="7"/>
        <v>211237</v>
      </c>
      <c r="H163" t="str">
        <f t="shared" si="8"/>
        <v>Sep-2024</v>
      </c>
    </row>
    <row r="164" spans="1:8" x14ac:dyDescent="0.3">
      <c r="A164" t="s">
        <v>169</v>
      </c>
      <c r="B164" t="s">
        <v>346</v>
      </c>
      <c r="C164" t="s">
        <v>379</v>
      </c>
      <c r="D164">
        <v>8</v>
      </c>
      <c r="E164" s="2">
        <v>1630</v>
      </c>
      <c r="F164" t="s">
        <v>382</v>
      </c>
      <c r="G164">
        <f t="shared" si="7"/>
        <v>13040</v>
      </c>
      <c r="H164" t="str">
        <f t="shared" si="8"/>
        <v>Nov-2024</v>
      </c>
    </row>
    <row r="165" spans="1:8" x14ac:dyDescent="0.3">
      <c r="A165" t="s">
        <v>170</v>
      </c>
      <c r="B165" t="s">
        <v>347</v>
      </c>
      <c r="C165" t="s">
        <v>372</v>
      </c>
      <c r="D165">
        <v>7</v>
      </c>
      <c r="E165" s="2">
        <v>45836</v>
      </c>
      <c r="F165" t="s">
        <v>384</v>
      </c>
      <c r="G165">
        <f t="shared" si="7"/>
        <v>320852</v>
      </c>
      <c r="H165" t="str">
        <f t="shared" si="8"/>
        <v>May-2024</v>
      </c>
    </row>
    <row r="166" spans="1:8" x14ac:dyDescent="0.3">
      <c r="A166" t="s">
        <v>171</v>
      </c>
      <c r="B166" t="s">
        <v>348</v>
      </c>
      <c r="C166" t="s">
        <v>375</v>
      </c>
      <c r="D166">
        <v>6</v>
      </c>
      <c r="E166" s="2">
        <v>31515</v>
      </c>
      <c r="F166" t="s">
        <v>381</v>
      </c>
      <c r="G166">
        <f t="shared" si="7"/>
        <v>189090</v>
      </c>
      <c r="H166" t="str">
        <f t="shared" si="8"/>
        <v>Jun-2024</v>
      </c>
    </row>
    <row r="167" spans="1:8" x14ac:dyDescent="0.3">
      <c r="A167" t="s">
        <v>172</v>
      </c>
      <c r="B167" t="s">
        <v>349</v>
      </c>
      <c r="C167" t="s">
        <v>373</v>
      </c>
      <c r="D167">
        <v>6</v>
      </c>
      <c r="E167" s="2">
        <v>23556</v>
      </c>
      <c r="F167" t="s">
        <v>383</v>
      </c>
      <c r="G167">
        <f t="shared" si="7"/>
        <v>141336</v>
      </c>
      <c r="H167" t="str">
        <f t="shared" si="8"/>
        <v>Aug-2024</v>
      </c>
    </row>
    <row r="168" spans="1:8" x14ac:dyDescent="0.3">
      <c r="A168" t="s">
        <v>173</v>
      </c>
      <c r="B168" t="s">
        <v>350</v>
      </c>
      <c r="C168" t="s">
        <v>376</v>
      </c>
      <c r="D168">
        <v>5</v>
      </c>
      <c r="E168" s="2">
        <v>15608</v>
      </c>
      <c r="F168" t="s">
        <v>382</v>
      </c>
      <c r="G168">
        <f t="shared" si="7"/>
        <v>78040</v>
      </c>
      <c r="H168" t="str">
        <f t="shared" si="8"/>
        <v>May-2024</v>
      </c>
    </row>
    <row r="169" spans="1:8" x14ac:dyDescent="0.3">
      <c r="A169" t="s">
        <v>174</v>
      </c>
      <c r="B169" t="s">
        <v>351</v>
      </c>
      <c r="C169" t="s">
        <v>378</v>
      </c>
      <c r="D169">
        <v>2</v>
      </c>
      <c r="E169" s="2">
        <v>49185</v>
      </c>
      <c r="F169" t="s">
        <v>384</v>
      </c>
      <c r="G169">
        <f t="shared" si="7"/>
        <v>98370</v>
      </c>
      <c r="H169" t="str">
        <f t="shared" si="8"/>
        <v>Apr-2024</v>
      </c>
    </row>
    <row r="170" spans="1:8" x14ac:dyDescent="0.3">
      <c r="A170" t="s">
        <v>175</v>
      </c>
      <c r="B170" t="s">
        <v>351</v>
      </c>
      <c r="C170" t="s">
        <v>372</v>
      </c>
      <c r="D170">
        <v>12</v>
      </c>
      <c r="E170" s="2">
        <v>32232</v>
      </c>
      <c r="F170" t="s">
        <v>381</v>
      </c>
      <c r="G170">
        <f t="shared" si="7"/>
        <v>386784</v>
      </c>
      <c r="H170" t="str">
        <f t="shared" si="8"/>
        <v>Apr-2024</v>
      </c>
    </row>
    <row r="171" spans="1:8" x14ac:dyDescent="0.3">
      <c r="A171" t="s">
        <v>176</v>
      </c>
      <c r="B171" t="s">
        <v>213</v>
      </c>
      <c r="C171" t="s">
        <v>373</v>
      </c>
      <c r="D171">
        <v>10</v>
      </c>
      <c r="E171" s="2">
        <v>19046</v>
      </c>
      <c r="F171" t="s">
        <v>382</v>
      </c>
      <c r="G171">
        <f t="shared" si="7"/>
        <v>190460</v>
      </c>
      <c r="H171" t="str">
        <f t="shared" si="8"/>
        <v>Oct-2024</v>
      </c>
    </row>
    <row r="172" spans="1:8" x14ac:dyDescent="0.3">
      <c r="A172" t="s">
        <v>177</v>
      </c>
      <c r="B172" t="s">
        <v>352</v>
      </c>
      <c r="C172" t="s">
        <v>376</v>
      </c>
      <c r="D172">
        <v>4</v>
      </c>
      <c r="E172" s="2">
        <v>24150</v>
      </c>
      <c r="F172" t="s">
        <v>384</v>
      </c>
      <c r="G172">
        <f t="shared" si="7"/>
        <v>96600</v>
      </c>
      <c r="H172" t="str">
        <f t="shared" si="8"/>
        <v>Apr-2024</v>
      </c>
    </row>
    <row r="173" spans="1:8" x14ac:dyDescent="0.3">
      <c r="A173" t="s">
        <v>178</v>
      </c>
      <c r="B173" t="s">
        <v>353</v>
      </c>
      <c r="C173" t="s">
        <v>374</v>
      </c>
      <c r="D173">
        <v>12</v>
      </c>
      <c r="E173" s="2">
        <v>35505</v>
      </c>
      <c r="F173" t="s">
        <v>384</v>
      </c>
      <c r="G173">
        <f t="shared" si="7"/>
        <v>426060</v>
      </c>
      <c r="H173" t="str">
        <f t="shared" si="8"/>
        <v>Jun-2024</v>
      </c>
    </row>
    <row r="174" spans="1:8" x14ac:dyDescent="0.3">
      <c r="A174" t="s">
        <v>179</v>
      </c>
      <c r="B174" t="s">
        <v>354</v>
      </c>
      <c r="C174" t="s">
        <v>374</v>
      </c>
      <c r="D174">
        <v>1</v>
      </c>
      <c r="E174" s="2">
        <v>36764</v>
      </c>
      <c r="F174" t="s">
        <v>381</v>
      </c>
      <c r="G174">
        <f t="shared" si="7"/>
        <v>36764</v>
      </c>
      <c r="H174" t="str">
        <f t="shared" si="8"/>
        <v>May-2024</v>
      </c>
    </row>
    <row r="175" spans="1:8" x14ac:dyDescent="0.3">
      <c r="A175" t="s">
        <v>180</v>
      </c>
      <c r="B175" t="s">
        <v>214</v>
      </c>
      <c r="C175" t="s">
        <v>380</v>
      </c>
      <c r="D175">
        <v>11</v>
      </c>
      <c r="E175" s="2">
        <v>49834</v>
      </c>
      <c r="F175" t="s">
        <v>383</v>
      </c>
      <c r="G175">
        <f t="shared" si="7"/>
        <v>548174</v>
      </c>
      <c r="H175" t="str">
        <f t="shared" si="8"/>
        <v>Dec-2024</v>
      </c>
    </row>
    <row r="176" spans="1:8" x14ac:dyDescent="0.3">
      <c r="A176" t="s">
        <v>181</v>
      </c>
      <c r="B176" t="s">
        <v>334</v>
      </c>
      <c r="C176" t="s">
        <v>374</v>
      </c>
      <c r="D176">
        <v>10</v>
      </c>
      <c r="E176" s="2">
        <v>19134</v>
      </c>
      <c r="F176" t="s">
        <v>383</v>
      </c>
      <c r="G176">
        <f t="shared" si="7"/>
        <v>191340</v>
      </c>
      <c r="H176" t="str">
        <f t="shared" si="8"/>
        <v>Feb-2024</v>
      </c>
    </row>
    <row r="177" spans="1:8" x14ac:dyDescent="0.3">
      <c r="A177" t="s">
        <v>182</v>
      </c>
      <c r="B177" t="s">
        <v>355</v>
      </c>
      <c r="C177" t="s">
        <v>379</v>
      </c>
      <c r="D177">
        <v>6</v>
      </c>
      <c r="E177" s="2">
        <v>12582</v>
      </c>
      <c r="F177" t="s">
        <v>382</v>
      </c>
      <c r="G177">
        <f t="shared" si="7"/>
        <v>75492</v>
      </c>
      <c r="H177" t="str">
        <f t="shared" si="8"/>
        <v>Sep-2024</v>
      </c>
    </row>
    <row r="178" spans="1:8" x14ac:dyDescent="0.3">
      <c r="A178" t="s">
        <v>183</v>
      </c>
      <c r="B178" t="s">
        <v>356</v>
      </c>
      <c r="C178" t="s">
        <v>379</v>
      </c>
      <c r="D178">
        <v>2</v>
      </c>
      <c r="E178" s="2">
        <v>4782</v>
      </c>
      <c r="F178" t="s">
        <v>383</v>
      </c>
      <c r="G178">
        <f t="shared" si="7"/>
        <v>9564</v>
      </c>
      <c r="H178" t="str">
        <f t="shared" si="8"/>
        <v>May-2024</v>
      </c>
    </row>
    <row r="179" spans="1:8" x14ac:dyDescent="0.3">
      <c r="A179" t="s">
        <v>184</v>
      </c>
      <c r="B179" t="s">
        <v>357</v>
      </c>
      <c r="C179" t="s">
        <v>371</v>
      </c>
      <c r="D179">
        <v>10</v>
      </c>
      <c r="E179" s="2">
        <v>41751</v>
      </c>
      <c r="F179" t="s">
        <v>382</v>
      </c>
      <c r="G179">
        <f t="shared" si="7"/>
        <v>417510</v>
      </c>
      <c r="H179" t="str">
        <f t="shared" si="8"/>
        <v>Sep-2024</v>
      </c>
    </row>
    <row r="180" spans="1:8" x14ac:dyDescent="0.3">
      <c r="A180" t="s">
        <v>185</v>
      </c>
      <c r="B180" t="s">
        <v>358</v>
      </c>
      <c r="C180" t="s">
        <v>380</v>
      </c>
      <c r="D180">
        <v>13</v>
      </c>
      <c r="E180" s="2">
        <v>37386</v>
      </c>
      <c r="F180" t="s">
        <v>381</v>
      </c>
      <c r="G180">
        <f t="shared" si="7"/>
        <v>486018</v>
      </c>
      <c r="H180" t="str">
        <f t="shared" si="8"/>
        <v>Mar-2024</v>
      </c>
    </row>
    <row r="181" spans="1:8" x14ac:dyDescent="0.3">
      <c r="A181" t="s">
        <v>186</v>
      </c>
      <c r="B181" t="s">
        <v>359</v>
      </c>
      <c r="C181" t="s">
        <v>372</v>
      </c>
      <c r="D181">
        <v>2</v>
      </c>
      <c r="E181" s="2">
        <v>37073</v>
      </c>
      <c r="F181" t="s">
        <v>383</v>
      </c>
      <c r="G181">
        <f t="shared" si="7"/>
        <v>74146</v>
      </c>
      <c r="H181" t="str">
        <f t="shared" si="8"/>
        <v>Feb-2024</v>
      </c>
    </row>
    <row r="182" spans="1:8" x14ac:dyDescent="0.3">
      <c r="A182" t="s">
        <v>187</v>
      </c>
      <c r="B182" t="s">
        <v>360</v>
      </c>
      <c r="C182" t="s">
        <v>375</v>
      </c>
      <c r="D182">
        <v>13</v>
      </c>
      <c r="E182" s="2">
        <v>41028</v>
      </c>
      <c r="F182" t="s">
        <v>384</v>
      </c>
      <c r="G182">
        <f t="shared" si="7"/>
        <v>533364</v>
      </c>
      <c r="H182" t="str">
        <f t="shared" si="8"/>
        <v>Nov-2024</v>
      </c>
    </row>
    <row r="183" spans="1:8" x14ac:dyDescent="0.3">
      <c r="A183" t="s">
        <v>188</v>
      </c>
      <c r="B183" t="s">
        <v>361</v>
      </c>
      <c r="C183" t="s">
        <v>377</v>
      </c>
      <c r="D183">
        <v>8</v>
      </c>
      <c r="E183" s="2">
        <v>29514</v>
      </c>
      <c r="F183" t="s">
        <v>381</v>
      </c>
      <c r="G183">
        <f t="shared" si="7"/>
        <v>236112</v>
      </c>
      <c r="H183" t="str">
        <f t="shared" si="8"/>
        <v>Sep-2024</v>
      </c>
    </row>
    <row r="184" spans="1:8" x14ac:dyDescent="0.3">
      <c r="A184" t="s">
        <v>189</v>
      </c>
      <c r="B184" t="s">
        <v>213</v>
      </c>
      <c r="C184" t="s">
        <v>377</v>
      </c>
      <c r="D184">
        <v>5</v>
      </c>
      <c r="E184" s="2">
        <v>37765</v>
      </c>
      <c r="F184" t="s">
        <v>382</v>
      </c>
      <c r="G184">
        <f t="shared" si="7"/>
        <v>188825</v>
      </c>
      <c r="H184" t="str">
        <f t="shared" si="8"/>
        <v>Oct-2024</v>
      </c>
    </row>
    <row r="185" spans="1:8" x14ac:dyDescent="0.3">
      <c r="A185" t="s">
        <v>190</v>
      </c>
      <c r="B185" t="s">
        <v>362</v>
      </c>
      <c r="C185" t="s">
        <v>371</v>
      </c>
      <c r="D185">
        <v>13</v>
      </c>
      <c r="E185" s="2">
        <v>14117</v>
      </c>
      <c r="F185" t="s">
        <v>384</v>
      </c>
      <c r="G185">
        <f t="shared" si="7"/>
        <v>183521</v>
      </c>
      <c r="H185" t="str">
        <f t="shared" si="8"/>
        <v>Nov-2024</v>
      </c>
    </row>
    <row r="186" spans="1:8" x14ac:dyDescent="0.3">
      <c r="A186" t="s">
        <v>191</v>
      </c>
      <c r="B186" t="s">
        <v>363</v>
      </c>
      <c r="C186" t="s">
        <v>371</v>
      </c>
      <c r="D186">
        <v>3</v>
      </c>
      <c r="E186" s="2">
        <v>16219</v>
      </c>
      <c r="F186" t="s">
        <v>384</v>
      </c>
      <c r="G186">
        <f t="shared" si="7"/>
        <v>48657</v>
      </c>
      <c r="H186" t="str">
        <f t="shared" si="8"/>
        <v>May-2024</v>
      </c>
    </row>
    <row r="187" spans="1:8" x14ac:dyDescent="0.3">
      <c r="A187" t="s">
        <v>192</v>
      </c>
      <c r="B187" t="s">
        <v>364</v>
      </c>
      <c r="C187" t="s">
        <v>371</v>
      </c>
      <c r="D187">
        <v>3</v>
      </c>
      <c r="E187" s="2">
        <v>675</v>
      </c>
      <c r="F187" t="s">
        <v>383</v>
      </c>
      <c r="G187">
        <f t="shared" si="7"/>
        <v>2025</v>
      </c>
      <c r="H187" t="str">
        <f t="shared" si="8"/>
        <v>Oct-2024</v>
      </c>
    </row>
    <row r="188" spans="1:8" x14ac:dyDescent="0.3">
      <c r="A188" t="s">
        <v>193</v>
      </c>
      <c r="B188" t="s">
        <v>316</v>
      </c>
      <c r="C188" t="s">
        <v>375</v>
      </c>
      <c r="D188">
        <v>8</v>
      </c>
      <c r="E188" s="2">
        <v>19587</v>
      </c>
      <c r="F188" t="s">
        <v>382</v>
      </c>
      <c r="G188">
        <f t="shared" si="7"/>
        <v>156696</v>
      </c>
      <c r="H188" t="str">
        <f t="shared" si="8"/>
        <v>Aug-2024</v>
      </c>
    </row>
    <row r="189" spans="1:8" x14ac:dyDescent="0.3">
      <c r="A189" t="s">
        <v>194</v>
      </c>
      <c r="B189" t="s">
        <v>365</v>
      </c>
      <c r="C189" t="s">
        <v>376</v>
      </c>
      <c r="D189">
        <v>12</v>
      </c>
      <c r="E189" s="2">
        <v>19028</v>
      </c>
      <c r="F189" t="s">
        <v>383</v>
      </c>
      <c r="G189">
        <f t="shared" si="7"/>
        <v>228336</v>
      </c>
      <c r="H189" t="str">
        <f t="shared" si="8"/>
        <v>Apr-2024</v>
      </c>
    </row>
    <row r="190" spans="1:8" x14ac:dyDescent="0.3">
      <c r="A190" t="s">
        <v>195</v>
      </c>
      <c r="B190" t="s">
        <v>248</v>
      </c>
      <c r="C190" t="s">
        <v>372</v>
      </c>
      <c r="D190">
        <v>15</v>
      </c>
      <c r="E190" s="2">
        <v>17837</v>
      </c>
      <c r="F190" t="s">
        <v>384</v>
      </c>
      <c r="G190">
        <f t="shared" si="7"/>
        <v>267555</v>
      </c>
      <c r="H190" t="str">
        <f t="shared" si="8"/>
        <v>Feb-2024</v>
      </c>
    </row>
    <row r="191" spans="1:8" x14ac:dyDescent="0.3">
      <c r="A191" t="s">
        <v>196</v>
      </c>
      <c r="B191" t="s">
        <v>349</v>
      </c>
      <c r="C191" t="s">
        <v>371</v>
      </c>
      <c r="D191">
        <v>9</v>
      </c>
      <c r="E191" s="2">
        <v>15233</v>
      </c>
      <c r="F191" t="s">
        <v>384</v>
      </c>
      <c r="G191">
        <f t="shared" si="7"/>
        <v>137097</v>
      </c>
      <c r="H191" t="str">
        <f t="shared" si="8"/>
        <v>Aug-2024</v>
      </c>
    </row>
    <row r="192" spans="1:8" x14ac:dyDescent="0.3">
      <c r="A192" t="s">
        <v>197</v>
      </c>
      <c r="B192" t="s">
        <v>366</v>
      </c>
      <c r="C192" t="s">
        <v>380</v>
      </c>
      <c r="D192">
        <v>2</v>
      </c>
      <c r="E192" s="2">
        <v>4408</v>
      </c>
      <c r="F192" t="s">
        <v>384</v>
      </c>
      <c r="G192">
        <f t="shared" si="7"/>
        <v>8816</v>
      </c>
      <c r="H192" t="str">
        <f t="shared" si="8"/>
        <v>May-2024</v>
      </c>
    </row>
    <row r="193" spans="1:8" x14ac:dyDescent="0.3">
      <c r="A193" t="s">
        <v>198</v>
      </c>
      <c r="B193" t="s">
        <v>367</v>
      </c>
      <c r="C193" t="s">
        <v>375</v>
      </c>
      <c r="D193">
        <v>12</v>
      </c>
      <c r="E193" s="2">
        <v>37803</v>
      </c>
      <c r="F193" t="s">
        <v>381</v>
      </c>
      <c r="G193">
        <f t="shared" si="7"/>
        <v>453636</v>
      </c>
      <c r="H193" t="str">
        <f t="shared" si="8"/>
        <v>Jun-2024</v>
      </c>
    </row>
    <row r="194" spans="1:8" x14ac:dyDescent="0.3">
      <c r="A194" t="s">
        <v>199</v>
      </c>
      <c r="B194" t="s">
        <v>245</v>
      </c>
      <c r="C194" t="s">
        <v>371</v>
      </c>
      <c r="D194">
        <v>8</v>
      </c>
      <c r="E194" s="2">
        <v>45633</v>
      </c>
      <c r="F194" t="s">
        <v>381</v>
      </c>
      <c r="G194">
        <f t="shared" si="7"/>
        <v>365064</v>
      </c>
      <c r="H194" t="str">
        <f t="shared" ref="H194:H201" si="9">TEXT(B194,"mmm-yyyy")</f>
        <v>Aug-2024</v>
      </c>
    </row>
    <row r="195" spans="1:8" x14ac:dyDescent="0.3">
      <c r="A195" t="s">
        <v>200</v>
      </c>
      <c r="B195" t="s">
        <v>368</v>
      </c>
      <c r="C195" t="s">
        <v>377</v>
      </c>
      <c r="D195">
        <v>5</v>
      </c>
      <c r="E195" s="2">
        <v>33298</v>
      </c>
      <c r="F195" t="s">
        <v>383</v>
      </c>
      <c r="G195">
        <f t="shared" ref="G195:G201" si="10">E195*D195</f>
        <v>166490</v>
      </c>
      <c r="H195" t="str">
        <f t="shared" si="9"/>
        <v>Dec-2024</v>
      </c>
    </row>
    <row r="196" spans="1:8" x14ac:dyDescent="0.3">
      <c r="A196" t="s">
        <v>201</v>
      </c>
      <c r="B196" t="s">
        <v>245</v>
      </c>
      <c r="C196" t="s">
        <v>371</v>
      </c>
      <c r="D196">
        <v>10</v>
      </c>
      <c r="E196" s="2">
        <v>3112</v>
      </c>
      <c r="F196" t="s">
        <v>383</v>
      </c>
      <c r="G196">
        <f t="shared" si="10"/>
        <v>31120</v>
      </c>
      <c r="H196" t="str">
        <f t="shared" si="9"/>
        <v>Aug-2024</v>
      </c>
    </row>
    <row r="197" spans="1:8" x14ac:dyDescent="0.3">
      <c r="A197" t="s">
        <v>202</v>
      </c>
      <c r="B197" t="s">
        <v>369</v>
      </c>
      <c r="C197" t="s">
        <v>375</v>
      </c>
      <c r="D197">
        <v>5</v>
      </c>
      <c r="E197" s="2">
        <v>2195</v>
      </c>
      <c r="F197" t="s">
        <v>382</v>
      </c>
      <c r="G197">
        <f t="shared" si="10"/>
        <v>10975</v>
      </c>
      <c r="H197" t="str">
        <f t="shared" si="9"/>
        <v>Jun-2024</v>
      </c>
    </row>
    <row r="198" spans="1:8" x14ac:dyDescent="0.3">
      <c r="A198" t="s">
        <v>203</v>
      </c>
      <c r="B198" t="s">
        <v>247</v>
      </c>
      <c r="C198" t="s">
        <v>375</v>
      </c>
      <c r="D198">
        <v>10</v>
      </c>
      <c r="E198" s="2">
        <v>1859</v>
      </c>
      <c r="F198" t="s">
        <v>381</v>
      </c>
      <c r="G198">
        <f t="shared" si="10"/>
        <v>18590</v>
      </c>
      <c r="H198" t="str">
        <f t="shared" si="9"/>
        <v>Apr-2024</v>
      </c>
    </row>
    <row r="199" spans="1:8" x14ac:dyDescent="0.3">
      <c r="A199" t="s">
        <v>204</v>
      </c>
      <c r="B199" t="s">
        <v>219</v>
      </c>
      <c r="C199" t="s">
        <v>374</v>
      </c>
      <c r="D199">
        <v>13</v>
      </c>
      <c r="E199" s="2">
        <v>11981</v>
      </c>
      <c r="F199" t="s">
        <v>383</v>
      </c>
      <c r="G199">
        <f t="shared" si="10"/>
        <v>155753</v>
      </c>
      <c r="H199" t="str">
        <f t="shared" si="9"/>
        <v>Oct-2024</v>
      </c>
    </row>
    <row r="200" spans="1:8" x14ac:dyDescent="0.3">
      <c r="A200" t="s">
        <v>205</v>
      </c>
      <c r="B200" t="s">
        <v>370</v>
      </c>
      <c r="C200" t="s">
        <v>379</v>
      </c>
      <c r="D200">
        <v>15</v>
      </c>
      <c r="E200" s="2">
        <v>18729</v>
      </c>
      <c r="F200" t="s">
        <v>384</v>
      </c>
      <c r="G200">
        <f t="shared" si="10"/>
        <v>280935</v>
      </c>
      <c r="H200" t="str">
        <f t="shared" si="9"/>
        <v>Sep-2024</v>
      </c>
    </row>
    <row r="201" spans="1:8" x14ac:dyDescent="0.3">
      <c r="A201" t="s">
        <v>206</v>
      </c>
      <c r="B201" t="s">
        <v>229</v>
      </c>
      <c r="C201" t="s">
        <v>377</v>
      </c>
      <c r="D201">
        <v>11</v>
      </c>
      <c r="E201" s="2">
        <v>32725</v>
      </c>
      <c r="F201" t="s">
        <v>382</v>
      </c>
      <c r="G201">
        <f t="shared" si="10"/>
        <v>359975</v>
      </c>
      <c r="H201" t="str">
        <f t="shared" si="9"/>
        <v>Oct-2024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 Dashboard</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Nirbhay Sharma</cp:lastModifiedBy>
  <dcterms:created xsi:type="dcterms:W3CDTF">2026-05-08T07:51:21Z</dcterms:created>
  <dcterms:modified xsi:type="dcterms:W3CDTF">2026-05-25T13:32:41Z</dcterms:modified>
</cp:coreProperties>
</file>