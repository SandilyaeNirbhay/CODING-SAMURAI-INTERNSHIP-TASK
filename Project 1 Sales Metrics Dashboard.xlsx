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82aa19b8e192c027/Desktop/"/>
    </mc:Choice>
  </mc:AlternateContent>
  <xr:revisionPtr revIDLastSave="0" documentId="8_{650F4235-BE4E-484B-99F6-7813EA8D09D6}" xr6:coauthVersionLast="47" xr6:coauthVersionMax="47" xr10:uidLastSave="{00000000-0000-0000-0000-000000000000}"/>
  <bookViews>
    <workbookView xWindow="-108" yWindow="-108" windowWidth="23256" windowHeight="12456" activeTab="2" xr2:uid="{E4746227-CFBE-4A5C-B114-61FFFDBCA6B6}"/>
  </bookViews>
  <sheets>
    <sheet name="Raw Data" sheetId="1" r:id="rId1"/>
    <sheet name="Pivot Table" sheetId="2" r:id="rId2"/>
    <sheet name="Dashboard" sheetId="3"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5" i="2" l="1"/>
  <c r="I7" i="2"/>
  <c r="I6" i="2"/>
  <c r="B3" i="2"/>
  <c r="B2" i="2"/>
  <c r="B4"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<sst xmlns="http://schemas.openxmlformats.org/spreadsheetml/2006/main" count="763" uniqueCount="34">
  <si>
    <t>Product</t>
  </si>
  <si>
    <t>Price</t>
  </si>
  <si>
    <t>Shoes</t>
  </si>
  <si>
    <t>T-shirt</t>
  </si>
  <si>
    <t>Jeans</t>
  </si>
  <si>
    <t>Jacket</t>
  </si>
  <si>
    <t xml:space="preserve"> </t>
  </si>
  <si>
    <t xml:space="preserve">Date </t>
  </si>
  <si>
    <t xml:space="preserve">Quantity </t>
  </si>
  <si>
    <t>Revenue</t>
  </si>
  <si>
    <t>Months</t>
  </si>
  <si>
    <t>A</t>
  </si>
  <si>
    <t>Total Revenue</t>
  </si>
  <si>
    <t>B</t>
  </si>
  <si>
    <t>Total Sales</t>
  </si>
  <si>
    <t>Avg Order Value</t>
  </si>
  <si>
    <t>Jan</t>
  </si>
  <si>
    <t>Feb</t>
  </si>
  <si>
    <t>Mar</t>
  </si>
  <si>
    <t>Apr</t>
  </si>
  <si>
    <t>May</t>
  </si>
  <si>
    <t>Jun</t>
  </si>
  <si>
    <t>Jul</t>
  </si>
  <si>
    <t>Aug</t>
  </si>
  <si>
    <t>Sep</t>
  </si>
  <si>
    <t>Oct</t>
  </si>
  <si>
    <t>Nov</t>
  </si>
  <si>
    <t>Dec</t>
  </si>
  <si>
    <t>Row Labels</t>
  </si>
  <si>
    <t>Grand Total</t>
  </si>
  <si>
    <t>Sum of Revenue</t>
  </si>
  <si>
    <t>Average Order Value</t>
  </si>
  <si>
    <t>KPIs</t>
  </si>
  <si>
    <t>Helper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</si>
</sst>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b/>
      <sz val="16"/>
      <color rgb="FFFFFFFF"/>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15">
    <xf numFmtId="0" fontId="0" fillId="0" borderId="0" xfId="0"/>
    <xf numFmtId="14" fontId="0" fillId="0" borderId="0" xfId="0" applyNumberFormat="1"/>
    <xf numFmtId="0" fontId="1" fillId="0" borderId="0" xfId="0" applyFont="1"/>
    <xf numFmtId="0" fontId="2" fillId="2" borderId="0" xfId="0" applyFont="1" applyFill="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1" fillId="3" borderId="1" xfId="0" applyFont="1" applyFill="1" applyBorder="1"/>
    <xf numFmtId="14" fontId="0" fillId="0" borderId="1" xfId="0" applyNumberFormat="1" applyBorder="1"/>
    <xf numFmtId="0" fontId="0" fillId="0" borderId="1" xfId="0" applyBorder="1"/>
    <xf numFmtId="2" fontId="3" fillId="0" borderId="0" xfId="0" applyNumberFormat="1" applyFont="1" applyAlignment="1">
      <alignment horizontal="center"/>
    </xf>
    <xf numFmtId="0" fontId="4" fillId="0" borderId="0" xfId="0" applyFont="1" applyAlignment="1">
      <alignment horizontal="center" vertical="center"/>
    </xf>
    <xf numFmtId="2" fontId="0" fillId="0" borderId="0" xfId="0" applyNumberFormat="1"/>
    <xf numFmtId="43" fontId="0" fillId="0" borderId="0" xfId="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1(A).xlsx]Pivot Table!PivotTable3</c:name>
    <c:fmtId val="26"/>
  </c:pivotSource>
  <c:chart>
    <c:title>
      <c:tx>
        <c:rich>
          <a:bodyPr rot="0" spcFirstLastPara="1" vertOverflow="ellipsis" vert="horz" wrap="square" anchor="ctr" anchorCtr="1"/>
          <a:lstStyle/>
          <a:p>
            <a:pPr>
              <a:defRPr lang="en-US" sz="960" b="1" i="0" u="none" strike="noStrike" kern="1200" spc="0" baseline="0">
                <a:solidFill>
                  <a:schemeClr val="tx1">
                    <a:lumMod val="75000"/>
                    <a:lumOff val="25000"/>
                  </a:schemeClr>
                </a:solidFill>
                <a:latin typeface="+mn-lt"/>
                <a:ea typeface="+mn-ea"/>
                <a:cs typeface="+mn-cs"/>
              </a:defRPr>
            </a:pPr>
            <a:r>
              <a:rPr lang="en-IN" sz="1200">
                <a:solidFill>
                  <a:srgbClr val="FF0000"/>
                </a:solidFill>
              </a:rPr>
              <a:t>Monthly Sales Trend</a:t>
            </a:r>
            <a:endParaRPr lang="en-US" sz="1200">
              <a:solidFill>
                <a:srgbClr val="FF0000"/>
              </a:solidFill>
            </a:endParaRPr>
          </a:p>
        </c:rich>
      </c:tx>
      <c:overlay val="0"/>
      <c:spPr>
        <a:noFill/>
        <a:ln>
          <a:noFill/>
        </a:ln>
        <a:effectLst/>
      </c:spPr>
      <c:txPr>
        <a:bodyPr rot="0" spcFirstLastPara="1" vertOverflow="ellipsis" vert="horz" wrap="square" anchor="ctr" anchorCtr="1"/>
        <a:lstStyle/>
        <a:p>
          <a:pPr>
            <a:defRPr lang="en-US" sz="96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40194975628041E-2"/>
          <c:y val="0.19125"/>
          <c:w val="0.89898180830844421"/>
          <c:h val="0.72400180446194229"/>
        </c:manualLayout>
      </c:layout>
      <c:lineChart>
        <c:grouping val="standard"/>
        <c:varyColors val="0"/>
        <c:ser>
          <c:idx val="0"/>
          <c:order val="0"/>
          <c:tx>
            <c:strRef>
              <c:f>'Pivot Table'!$E$3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Table'!$D$4:$D$8</c:f>
              <c:strCache>
                <c:ptCount val="4"/>
                <c:pt idx="0">
                  <c:v>Jan</c:v>
                </c:pt>
                <c:pt idx="1">
                  <c:v>Feb</c:v>
                </c:pt>
                <c:pt idx="2">
                  <c:v>Mar</c:v>
                </c:pt>
                <c:pt idx="3">
                  <c:v>Apr</c:v>
                </c:pt>
              </c:strCache>
            </c:strRef>
          </c:cat>
          <c:val>
            <c:numRef>
              <c:f>'Pivot Table'!$E$4:$E$8</c:f>
              <c:numCache>
                <c:formatCode>General</c:formatCode>
                <c:ptCount val="4"/>
                <c:pt idx="0">
                  <c:v>213500</c:v>
                </c:pt>
                <c:pt idx="1">
                  <c:v>177500</c:v>
                </c:pt>
                <c:pt idx="2">
                  <c:v>133000</c:v>
                </c:pt>
                <c:pt idx="3">
                  <c:v>136500</c:v>
                </c:pt>
              </c:numCache>
            </c:numRef>
          </c:val>
          <c:smooth val="1"/>
          <c:extLst>
            <c:ext xmlns:c16="http://schemas.microsoft.com/office/drawing/2014/chart" uri="{C3380CC4-5D6E-409C-BE32-E72D297353CC}">
              <c16:uniqueId val="{00000000-7AB6-41DB-B8F5-3F55705FC8CD}"/>
            </c:ext>
          </c:extLst>
        </c:ser>
        <c:dLbls>
          <c:dLblPos val="t"/>
          <c:showLegendKey val="0"/>
          <c:showVal val="1"/>
          <c:showCatName val="0"/>
          <c:showSerName val="0"/>
          <c:showPercent val="0"/>
          <c:showBubbleSize val="0"/>
        </c:dLbls>
        <c:smooth val="0"/>
        <c:axId val="1726690496"/>
        <c:axId val="1726693856"/>
      </c:lineChart>
      <c:catAx>
        <c:axId val="1726690496"/>
        <c:scaling>
          <c:orientation val="minMax"/>
        </c:scaling>
        <c:delete val="1"/>
        <c:axPos val="b"/>
        <c:numFmt formatCode="General" sourceLinked="1"/>
        <c:majorTickMark val="out"/>
        <c:minorTickMark val="none"/>
        <c:tickLblPos val="nextTo"/>
        <c:crossAx val="1726693856"/>
        <c:crosses val="autoZero"/>
        <c:auto val="1"/>
        <c:lblAlgn val="ctr"/>
        <c:lblOffset val="100"/>
        <c:noMultiLvlLbl val="0"/>
      </c:catAx>
      <c:valAx>
        <c:axId val="1726693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800" b="1" i="0" u="none" strike="noStrike" kern="1200" baseline="0">
                <a:solidFill>
                  <a:schemeClr val="tx1">
                    <a:lumMod val="75000"/>
                    <a:lumOff val="25000"/>
                  </a:schemeClr>
                </a:solidFill>
                <a:latin typeface="+mn-lt"/>
                <a:ea typeface="+mn-ea"/>
                <a:cs typeface="+mn-cs"/>
              </a:defRPr>
            </a:pPr>
            <a:endParaRPr lang="en-US"/>
          </a:p>
        </c:txPr>
        <c:crossAx val="1726690496"/>
        <c:crosses val="autoZero"/>
        <c:crossBetween val="between"/>
      </c:valAx>
      <c:spPr>
        <a:noFill/>
        <a:ln>
          <a:noFill/>
          <a:extLst>
            <a:ext uri="{C807C97D-BFC1-408E-A445-0C87EB9F89A2}">
              <ask:lineSketchStyleProps xmlns:ask="http://schemas.microsoft.com/office/drawing/2018/sketchyshapes">
                <ask:type>
                  <ask:lineSketchCurved/>
                </ask:type>
              </ask:lineSketchStyleProps>
            </a:ext>
          </a:extLst>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8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1(A).xlsx]Pivot Table!PivotTable4</c:name>
    <c:fmtId val="4"/>
  </c:pivotSource>
  <c:chart>
    <c:title>
      <c:tx>
        <c:rich>
          <a:bodyPr rot="0" spcFirstLastPara="1" vertOverflow="ellipsis" vert="horz" wrap="square" anchor="ctr" anchorCtr="1"/>
          <a:lstStyle/>
          <a:p>
            <a:pPr algn="ctr" rtl="0">
              <a:defRPr lang="en-IN" sz="1200" b="1" i="0" u="none" strike="noStrike" kern="1200" spc="0" baseline="0">
                <a:solidFill>
                  <a:srgbClr val="FF0000"/>
                </a:solidFill>
                <a:latin typeface="+mn-lt"/>
                <a:ea typeface="+mn-ea"/>
                <a:cs typeface="+mn-cs"/>
              </a:defRPr>
            </a:pPr>
            <a:r>
              <a:rPr lang="en-IN" sz="1200" b="1" i="0" u="none" strike="noStrike" kern="1200" spc="0" baseline="0">
                <a:solidFill>
                  <a:srgbClr val="FF0000"/>
                </a:solidFill>
                <a:latin typeface="+mn-lt"/>
                <a:ea typeface="+mn-ea"/>
                <a:cs typeface="+mn-cs"/>
              </a:rPr>
              <a:t>Top Products</a:t>
            </a:r>
          </a:p>
          <a:p>
            <a:pPr algn="ctr" rtl="0">
              <a:defRPr lang="en-IN" sz="1200" b="1">
                <a:solidFill>
                  <a:srgbClr val="FF0000"/>
                </a:solidFill>
              </a:defRPr>
            </a:pPr>
            <a:endParaRPr lang="en-IN" sz="1200" b="1" i="0" u="none" strike="noStrike" kern="1200" spc="0" baseline="0">
              <a:solidFill>
                <a:srgbClr val="FF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Table'!$A$11:$A$15</c:f>
              <c:strCache>
                <c:ptCount val="4"/>
                <c:pt idx="0">
                  <c:v>Jacket</c:v>
                </c:pt>
                <c:pt idx="1">
                  <c:v>Shoes</c:v>
                </c:pt>
                <c:pt idx="2">
                  <c:v>Jeans</c:v>
                </c:pt>
                <c:pt idx="3">
                  <c:v>T-shirt</c:v>
                </c:pt>
              </c:strCache>
            </c:strRef>
          </c:cat>
          <c:val>
            <c:numRef>
              <c:f>'Pivot Table'!$B$11:$B$15</c:f>
              <c:numCache>
                <c:formatCode>General</c:formatCode>
                <c:ptCount val="4"/>
                <c:pt idx="0">
                  <c:v>249000</c:v>
                </c:pt>
                <c:pt idx="1">
                  <c:v>196500</c:v>
                </c:pt>
                <c:pt idx="2">
                  <c:v>162000</c:v>
                </c:pt>
                <c:pt idx="3">
                  <c:v>53000</c:v>
                </c:pt>
              </c:numCache>
            </c:numRef>
          </c:val>
          <c:extLst>
            <c:ext xmlns:c16="http://schemas.microsoft.com/office/drawing/2014/chart" uri="{C3380CC4-5D6E-409C-BE32-E72D297353CC}">
              <c16:uniqueId val="{00000000-469B-492E-A943-FCB219FA0F33}"/>
            </c:ext>
          </c:extLst>
        </c:ser>
        <c:dLbls>
          <c:dLblPos val="outEnd"/>
          <c:showLegendKey val="0"/>
          <c:showVal val="1"/>
          <c:showCatName val="0"/>
          <c:showSerName val="0"/>
          <c:showPercent val="0"/>
          <c:showBubbleSize val="0"/>
        </c:dLbls>
        <c:gapWidth val="182"/>
        <c:axId val="282309200"/>
        <c:axId val="282309680"/>
      </c:barChart>
      <c:catAx>
        <c:axId val="28230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tx1">
                    <a:lumMod val="75000"/>
                    <a:lumOff val="25000"/>
                  </a:schemeClr>
                </a:solidFill>
                <a:latin typeface="+mn-lt"/>
                <a:ea typeface="+mn-ea"/>
                <a:cs typeface="+mn-cs"/>
              </a:defRPr>
            </a:pPr>
            <a:endParaRPr lang="en-US"/>
          </a:p>
        </c:txPr>
        <c:crossAx val="282309680"/>
        <c:crosses val="autoZero"/>
        <c:auto val="1"/>
        <c:lblAlgn val="ctr"/>
        <c:lblOffset val="100"/>
        <c:noMultiLvlLbl val="0"/>
      </c:catAx>
      <c:valAx>
        <c:axId val="282309680"/>
        <c:scaling>
          <c:orientation val="minMax"/>
        </c:scaling>
        <c:delete val="1"/>
        <c:axPos val="b"/>
        <c:numFmt formatCode="General" sourceLinked="1"/>
        <c:majorTickMark val="none"/>
        <c:minorTickMark val="none"/>
        <c:tickLblPos val="nextTo"/>
        <c:crossAx val="28230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8</xdr:col>
      <xdr:colOff>22860</xdr:colOff>
      <xdr:row>0</xdr:row>
      <xdr:rowOff>99060</xdr:rowOff>
    </xdr:from>
    <xdr:to>
      <xdr:col>21</xdr:col>
      <xdr:colOff>228600</xdr:colOff>
      <xdr:row>13</xdr:row>
      <xdr:rowOff>160020</xdr:rowOff>
    </xdr:to>
    <xdr:graphicFrame macro="">
      <xdr:nvGraphicFramePr>
        <xdr:cNvPr id="4" name="Chart 3">
          <a:extLst>
            <a:ext uri="{FF2B5EF4-FFF2-40B4-BE49-F238E27FC236}">
              <a16:creationId xmlns:a16="http://schemas.microsoft.com/office/drawing/2014/main" id="{BFACAECB-5251-4AE1-BB78-B5558F1E2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14</xdr:row>
      <xdr:rowOff>38100</xdr:rowOff>
    </xdr:from>
    <xdr:to>
      <xdr:col>21</xdr:col>
      <xdr:colOff>175260</xdr:colOff>
      <xdr:row>29</xdr:row>
      <xdr:rowOff>38100</xdr:rowOff>
    </xdr:to>
    <xdr:graphicFrame macro="">
      <xdr:nvGraphicFramePr>
        <xdr:cNvPr id="5" name="Chart 4">
          <a:extLst>
            <a:ext uri="{FF2B5EF4-FFF2-40B4-BE49-F238E27FC236}">
              <a16:creationId xmlns:a16="http://schemas.microsoft.com/office/drawing/2014/main" id="{43F36C78-ECE2-491C-AE3D-F2419516E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342900</xdr:colOff>
      <xdr:row>6</xdr:row>
      <xdr:rowOff>133776</xdr:rowOff>
    </xdr:from>
    <xdr:to>
      <xdr:col>3</xdr:col>
      <xdr:colOff>342900</xdr:colOff>
      <xdr:row>14</xdr:row>
      <xdr:rowOff>126156</xdr:rowOff>
    </xdr:to>
    <mc:AlternateContent xmlns:mc="http://schemas.openxmlformats.org/markup-compatibility/2006" xmlns:a14="http://schemas.microsoft.com/office/drawing/2010/main">
      <mc:Choice Requires="a14">
        <xdr:graphicFrame macro="">
          <xdr:nvGraphicFramePr>
            <xdr:cNvPr id="6" name="Months (Date )">
              <a:extLst>
                <a:ext uri="{FF2B5EF4-FFF2-40B4-BE49-F238E27FC236}">
                  <a16:creationId xmlns:a16="http://schemas.microsoft.com/office/drawing/2014/main" id="{0C1042FA-D9D5-A9EA-20F0-38C9719C1C6E}"/>
                </a:ext>
              </a:extLst>
            </xdr:cNvPr>
            <xdr:cNvGraphicFramePr/>
          </xdr:nvGraphicFramePr>
          <xdr:xfrm>
            <a:off x="0" y="0"/>
            <a:ext cx="0" cy="0"/>
          </xdr:xfrm>
          <a:graphic>
            <a:graphicData uri="http://schemas.microsoft.com/office/drawing/2010/slicer">
              <sle:slicer xmlns:sle="http://schemas.microsoft.com/office/drawing/2010/slicer" name="Months (Date )"/>
            </a:graphicData>
          </a:graphic>
        </xdr:graphicFrame>
      </mc:Choice>
      <mc:Fallback xmlns="">
        <xdr:sp macro="" textlink="">
          <xdr:nvSpPr>
            <xdr:cNvPr id="0" name=""/>
            <xdr:cNvSpPr>
              <a:spLocks noTextEdit="1"/>
            </xdr:cNvSpPr>
          </xdr:nvSpPr>
          <xdr:spPr>
            <a:xfrm>
              <a:off x="342900" y="1224821"/>
              <a:ext cx="1818409" cy="1447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25400</xdr:colOff>
      <xdr:row>6</xdr:row>
      <xdr:rowOff>109872</xdr:rowOff>
    </xdr:from>
    <xdr:to>
      <xdr:col>7</xdr:col>
      <xdr:colOff>220132</xdr:colOff>
      <xdr:row>14</xdr:row>
      <xdr:rowOff>160674</xdr:rowOff>
    </xdr:to>
    <xdr:sp macro="" textlink="'Pivot Table'!I5">
      <xdr:nvSpPr>
        <xdr:cNvPr id="7" name="Rectangle: Rounded Corners 6">
          <a:extLst>
            <a:ext uri="{FF2B5EF4-FFF2-40B4-BE49-F238E27FC236}">
              <a16:creationId xmlns:a16="http://schemas.microsoft.com/office/drawing/2014/main" id="{240B12C6-1566-C300-F10A-A7150A874220}"/>
            </a:ext>
          </a:extLst>
        </xdr:cNvPr>
        <xdr:cNvSpPr/>
      </xdr:nvSpPr>
      <xdr:spPr>
        <a:xfrm>
          <a:off x="2449945" y="1200917"/>
          <a:ext cx="2013142" cy="1505530"/>
        </a:xfrm>
        <a:prstGeom prst="roundRect">
          <a:avLst/>
        </a:prstGeom>
        <a:solidFill>
          <a:schemeClr val="tx2">
            <a:lumMod val="75000"/>
            <a:lumOff val="25000"/>
          </a:schemeClr>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chemeClr val="bg1"/>
            </a:solidFill>
            <a:latin typeface="Aptos Narrow"/>
          </a:endParaRPr>
        </a:p>
        <a:p>
          <a:pPr algn="ctr"/>
          <a:endParaRPr lang="en-US" sz="1800" b="1" i="0" u="none" strike="noStrike">
            <a:solidFill>
              <a:schemeClr val="bg1"/>
            </a:solidFill>
            <a:latin typeface="Aptos Narrow"/>
          </a:endParaRPr>
        </a:p>
        <a:p>
          <a:pPr algn="ctr"/>
          <a:fld id="{6C8E81E3-6628-4CAE-A185-20B5322B4933}" type="TxLink">
            <a:rPr lang="en-US" sz="1800" b="1" i="0" u="none" strike="noStrike">
              <a:solidFill>
                <a:schemeClr val="bg1"/>
              </a:solidFill>
              <a:latin typeface="Aptos Narrow"/>
            </a:rPr>
            <a:pPr algn="ctr"/>
            <a:t> 2,333,000.00 </a:t>
          </a:fld>
          <a:endParaRPr lang="en-US" sz="1800" b="1" i="0" u="none" strike="noStrike">
            <a:solidFill>
              <a:schemeClr val="bg1"/>
            </a:solidFill>
            <a:latin typeface="Aptos Narrow"/>
          </a:endParaRPr>
        </a:p>
      </xdr:txBody>
    </xdr:sp>
    <xdr:clientData/>
  </xdr:twoCellAnchor>
  <xdr:twoCellAnchor>
    <xdr:from>
      <xdr:col>0</xdr:col>
      <xdr:colOff>108911</xdr:colOff>
      <xdr:row>15</xdr:row>
      <xdr:rowOff>67155</xdr:rowOff>
    </xdr:from>
    <xdr:to>
      <xdr:col>3</xdr:col>
      <xdr:colOff>405245</xdr:colOff>
      <xdr:row>23</xdr:row>
      <xdr:rowOff>143356</xdr:rowOff>
    </xdr:to>
    <xdr:sp macro="" textlink="'Pivot Table'!I6">
      <xdr:nvSpPr>
        <xdr:cNvPr id="8" name="Rectangle: Rounded Corners 7">
          <a:extLst>
            <a:ext uri="{FF2B5EF4-FFF2-40B4-BE49-F238E27FC236}">
              <a16:creationId xmlns:a16="http://schemas.microsoft.com/office/drawing/2014/main" id="{2B3A99CE-58D2-47F0-8675-D011B13F35DE}"/>
            </a:ext>
          </a:extLst>
        </xdr:cNvPr>
        <xdr:cNvSpPr/>
      </xdr:nvSpPr>
      <xdr:spPr>
        <a:xfrm>
          <a:off x="108911" y="2794769"/>
          <a:ext cx="2114743" cy="1530928"/>
        </a:xfrm>
        <a:prstGeom prst="roundRect">
          <a:avLst/>
        </a:prstGeom>
        <a:solidFill>
          <a:schemeClr val="tx2">
            <a:lumMod val="75000"/>
            <a:lumOff val="25000"/>
          </a:schemeClr>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i="0" u="none" strike="noStrike">
            <a:solidFill>
              <a:schemeClr val="bg1"/>
            </a:solidFill>
            <a:latin typeface="Aptos Narrow"/>
            <a:ea typeface="+mn-ea"/>
            <a:cs typeface="+mn-cs"/>
          </a:endParaRPr>
        </a:p>
        <a:p>
          <a:pPr marL="0" indent="0" algn="ctr"/>
          <a:endParaRPr lang="en-US" sz="2000" b="1" i="0" u="none" strike="noStrike">
            <a:solidFill>
              <a:schemeClr val="bg1"/>
            </a:solidFill>
            <a:latin typeface="Aptos Narrow"/>
            <a:ea typeface="+mn-ea"/>
            <a:cs typeface="+mn-cs"/>
          </a:endParaRPr>
        </a:p>
        <a:p>
          <a:pPr marL="0" indent="0" algn="ctr"/>
          <a:fld id="{4F755301-6FAB-400B-A742-2941AFCF9A97}" type="TxLink">
            <a:rPr lang="en-US" sz="2000" b="1" i="0" u="none" strike="noStrike">
              <a:solidFill>
                <a:schemeClr val="bg1"/>
              </a:solidFill>
              <a:latin typeface="Aptos Narrow"/>
              <a:ea typeface="+mn-ea"/>
              <a:cs typeface="+mn-cs"/>
            </a:rPr>
            <a:pPr marL="0" indent="0" algn="ctr"/>
            <a:t>1279</a:t>
          </a:fld>
          <a:endParaRPr lang="en-IN" sz="2000" b="1" i="0" u="none" strike="noStrike">
            <a:solidFill>
              <a:schemeClr val="bg1"/>
            </a:solidFill>
            <a:latin typeface="Aptos Narrow"/>
            <a:ea typeface="+mn-ea"/>
            <a:cs typeface="+mn-cs"/>
          </a:endParaRPr>
        </a:p>
      </xdr:txBody>
    </xdr:sp>
    <xdr:clientData/>
  </xdr:twoCellAnchor>
  <xdr:twoCellAnchor>
    <xdr:from>
      <xdr:col>3</xdr:col>
      <xdr:colOff>584200</xdr:colOff>
      <xdr:row>15</xdr:row>
      <xdr:rowOff>143935</xdr:rowOff>
    </xdr:from>
    <xdr:to>
      <xdr:col>7</xdr:col>
      <xdr:colOff>270934</xdr:colOff>
      <xdr:row>23</xdr:row>
      <xdr:rowOff>177800</xdr:rowOff>
    </xdr:to>
    <xdr:sp macro="" textlink="'Pivot Table'!I7">
      <xdr:nvSpPr>
        <xdr:cNvPr id="9" name="Rectangle: Rounded Corners 8">
          <a:extLst>
            <a:ext uri="{FF2B5EF4-FFF2-40B4-BE49-F238E27FC236}">
              <a16:creationId xmlns:a16="http://schemas.microsoft.com/office/drawing/2014/main" id="{65A532D7-E2D5-4E2A-AA78-32635DAFCDA8}"/>
            </a:ext>
          </a:extLst>
        </xdr:cNvPr>
        <xdr:cNvSpPr/>
      </xdr:nvSpPr>
      <xdr:spPr>
        <a:xfrm>
          <a:off x="2413000" y="2937935"/>
          <a:ext cx="2125134" cy="1523998"/>
        </a:xfrm>
        <a:prstGeom prst="roundRect">
          <a:avLst/>
        </a:prstGeom>
        <a:solidFill>
          <a:schemeClr val="tx2">
            <a:lumMod val="75000"/>
            <a:lumOff val="25000"/>
          </a:schemeClr>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i="0" u="none" strike="noStrike">
            <a:solidFill>
              <a:schemeClr val="bg1"/>
            </a:solidFill>
            <a:latin typeface="Aptos Narrow"/>
            <a:ea typeface="+mn-ea"/>
            <a:cs typeface="+mn-cs"/>
          </a:endParaRPr>
        </a:p>
        <a:p>
          <a:pPr marL="0" indent="0" algn="ctr"/>
          <a:endParaRPr lang="en-US" sz="2000" b="1" i="0" u="none" strike="noStrike">
            <a:solidFill>
              <a:schemeClr val="bg1"/>
            </a:solidFill>
            <a:latin typeface="Aptos Narrow"/>
            <a:ea typeface="+mn-ea"/>
            <a:cs typeface="+mn-cs"/>
          </a:endParaRPr>
        </a:p>
        <a:p>
          <a:pPr marL="0" indent="0" algn="ctr"/>
          <a:fld id="{E72CA493-2025-4D3E-92A2-1521847E1CF7}" type="TxLink">
            <a:rPr lang="en-US" sz="2000" b="1" i="0" u="none" strike="noStrike">
              <a:solidFill>
                <a:schemeClr val="bg1"/>
              </a:solidFill>
              <a:latin typeface="Aptos Narrow"/>
              <a:ea typeface="+mn-ea"/>
              <a:cs typeface="+mn-cs"/>
            </a:rPr>
            <a:pPr marL="0" indent="0" algn="ctr"/>
            <a:t>6374.32</a:t>
          </a:fld>
          <a:r>
            <a:rPr lang="en-US" sz="2000" b="1" i="0" u="none" strike="noStrike">
              <a:solidFill>
                <a:schemeClr val="bg1"/>
              </a:solidFill>
              <a:latin typeface="Aptos Narrow"/>
              <a:ea typeface="+mn-ea"/>
              <a:cs typeface="+mn-cs"/>
            </a:rPr>
            <a:t> </a:t>
          </a:r>
          <a:endParaRPr lang="en-IN" sz="2000" b="1" i="0" u="none" strike="noStrike">
            <a:solidFill>
              <a:schemeClr val="bg1"/>
            </a:solidFill>
            <a:latin typeface="Aptos Narrow"/>
            <a:ea typeface="+mn-ea"/>
            <a:cs typeface="+mn-cs"/>
          </a:endParaRPr>
        </a:p>
      </xdr:txBody>
    </xdr:sp>
    <xdr:clientData/>
  </xdr:twoCellAnchor>
  <xdr:twoCellAnchor editAs="oneCell">
    <xdr:from>
      <xdr:col>1</xdr:col>
      <xdr:colOff>222070</xdr:colOff>
      <xdr:row>15</xdr:row>
      <xdr:rowOff>148638</xdr:rowOff>
    </xdr:from>
    <xdr:to>
      <xdr:col>2</xdr:col>
      <xdr:colOff>381000</xdr:colOff>
      <xdr:row>18</xdr:row>
      <xdr:rowOff>76199</xdr:rowOff>
    </xdr:to>
    <xdr:pic>
      <xdr:nvPicPr>
        <xdr:cNvPr id="11" name="Picture 10">
          <a:extLst>
            <a:ext uri="{FF2B5EF4-FFF2-40B4-BE49-F238E27FC236}">
              <a16:creationId xmlns:a16="http://schemas.microsoft.com/office/drawing/2014/main" id="{C37133D2-E353-87FF-8AF7-4810C5D94DEC}"/>
            </a:ext>
          </a:extLst>
        </xdr:cNvPr>
        <xdr:cNvPicPr>
          <a:picLocks noChangeAspect="1"/>
        </xdr:cNvPicPr>
      </xdr:nvPicPr>
      <xdr:blipFill>
        <a:blip xmlns:r="http://schemas.openxmlformats.org/officeDocument/2006/relationships" r:embed="rId3"/>
        <a:stretch>
          <a:fillRect/>
        </a:stretch>
      </xdr:blipFill>
      <xdr:spPr>
        <a:xfrm>
          <a:off x="831670" y="2942638"/>
          <a:ext cx="768530" cy="486361"/>
        </a:xfrm>
        <a:prstGeom prst="rect">
          <a:avLst/>
        </a:prstGeom>
      </xdr:spPr>
    </xdr:pic>
    <xdr:clientData/>
  </xdr:twoCellAnchor>
  <xdr:twoCellAnchor>
    <xdr:from>
      <xdr:col>0</xdr:col>
      <xdr:colOff>118534</xdr:colOff>
      <xdr:row>0</xdr:row>
      <xdr:rowOff>118534</xdr:rowOff>
    </xdr:from>
    <xdr:to>
      <xdr:col>7</xdr:col>
      <xdr:colOff>414867</xdr:colOff>
      <xdr:row>4</xdr:row>
      <xdr:rowOff>76201</xdr:rowOff>
    </xdr:to>
    <xdr:sp macro="" textlink="">
      <xdr:nvSpPr>
        <xdr:cNvPr id="13" name="Rectangle: Rounded Corners 12">
          <a:extLst>
            <a:ext uri="{FF2B5EF4-FFF2-40B4-BE49-F238E27FC236}">
              <a16:creationId xmlns:a16="http://schemas.microsoft.com/office/drawing/2014/main" id="{F10E55CD-0586-775D-607C-258F5910D99A}"/>
            </a:ext>
          </a:extLst>
        </xdr:cNvPr>
        <xdr:cNvSpPr/>
      </xdr:nvSpPr>
      <xdr:spPr>
        <a:xfrm>
          <a:off x="118534" y="118534"/>
          <a:ext cx="4563533" cy="702734"/>
        </a:xfrm>
        <a:prstGeom prst="roundRect">
          <a:avLst/>
        </a:prstGeom>
        <a:solidFill>
          <a:schemeClr val="bg2">
            <a:lumMod val="50000"/>
          </a:schemeClr>
        </a:solidFill>
        <a:ln>
          <a:solidFill>
            <a:srgbClr val="FF0000"/>
          </a:solidFill>
        </a:ln>
        <a:effectLst>
          <a:outerShdw blurRad="76200" dist="12700" dir="2700000" sy="-23000" kx="-8004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0" u="none">
              <a:solidFill>
                <a:schemeClr val="bg1"/>
              </a:solidFill>
              <a:latin typeface="Abadi" panose="020F0502020204030204" pitchFamily="34" charset="0"/>
            </a:rPr>
            <a:t>Sales Metrics Dashboard</a:t>
          </a:r>
        </a:p>
      </xdr:txBody>
    </xdr:sp>
    <xdr:clientData/>
  </xdr:twoCellAnchor>
  <xdr:twoCellAnchor>
    <xdr:from>
      <xdr:col>3</xdr:col>
      <xdr:colOff>127000</xdr:colOff>
      <xdr:row>27</xdr:row>
      <xdr:rowOff>67731</xdr:rowOff>
    </xdr:from>
    <xdr:to>
      <xdr:col>3</xdr:col>
      <xdr:colOff>177800</xdr:colOff>
      <xdr:row>27</xdr:row>
      <xdr:rowOff>113450</xdr:rowOff>
    </xdr:to>
    <xdr:sp macro="" textlink="">
      <xdr:nvSpPr>
        <xdr:cNvPr id="17" name="TextBox 16">
          <a:extLst>
            <a:ext uri="{FF2B5EF4-FFF2-40B4-BE49-F238E27FC236}">
              <a16:creationId xmlns:a16="http://schemas.microsoft.com/office/drawing/2014/main" id="{B4C78926-0834-D2FC-C941-5CC8038E69A5}"/>
            </a:ext>
          </a:extLst>
        </xdr:cNvPr>
        <xdr:cNvSpPr txBox="1"/>
      </xdr:nvSpPr>
      <xdr:spPr>
        <a:xfrm flipV="1">
          <a:off x="1955800" y="5096931"/>
          <a:ext cx="50800"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p>
      </xdr:txBody>
    </xdr:sp>
    <xdr:clientData/>
  </xdr:twoCellAnchor>
  <xdr:twoCellAnchor editAs="oneCell">
    <xdr:from>
      <xdr:col>5</xdr:col>
      <xdr:colOff>59460</xdr:colOff>
      <xdr:row>7</xdr:row>
      <xdr:rowOff>16933</xdr:rowOff>
    </xdr:from>
    <xdr:to>
      <xdr:col>6</xdr:col>
      <xdr:colOff>220326</xdr:colOff>
      <xdr:row>10</xdr:row>
      <xdr:rowOff>33866</xdr:rowOff>
    </xdr:to>
    <xdr:pic>
      <xdr:nvPicPr>
        <xdr:cNvPr id="19" name="Picture 18">
          <a:extLst>
            <a:ext uri="{FF2B5EF4-FFF2-40B4-BE49-F238E27FC236}">
              <a16:creationId xmlns:a16="http://schemas.microsoft.com/office/drawing/2014/main" id="{B7573667-D338-389C-EE1A-331F47D3B7E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90142" y="1289819"/>
          <a:ext cx="767002" cy="562456"/>
        </a:xfrm>
        <a:prstGeom prst="rect">
          <a:avLst/>
        </a:prstGeom>
      </xdr:spPr>
    </xdr:pic>
    <xdr:clientData/>
  </xdr:twoCellAnchor>
  <xdr:twoCellAnchor>
    <xdr:from>
      <xdr:col>4</xdr:col>
      <xdr:colOff>118148</xdr:colOff>
      <xdr:row>11</xdr:row>
      <xdr:rowOff>34635</xdr:rowOff>
    </xdr:from>
    <xdr:to>
      <xdr:col>7</xdr:col>
      <xdr:colOff>118148</xdr:colOff>
      <xdr:row>14</xdr:row>
      <xdr:rowOff>58113</xdr:rowOff>
    </xdr:to>
    <xdr:sp macro="" textlink="">
      <xdr:nvSpPr>
        <xdr:cNvPr id="20" name="TextBox 19">
          <a:extLst>
            <a:ext uri="{FF2B5EF4-FFF2-40B4-BE49-F238E27FC236}">
              <a16:creationId xmlns:a16="http://schemas.microsoft.com/office/drawing/2014/main" id="{F6152481-00D2-7E7E-0135-2AA158D5161C}"/>
            </a:ext>
          </a:extLst>
        </xdr:cNvPr>
        <xdr:cNvSpPr txBox="1"/>
      </xdr:nvSpPr>
      <xdr:spPr>
        <a:xfrm>
          <a:off x="2542693" y="2034885"/>
          <a:ext cx="1818410" cy="569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a:t>
          </a:r>
          <a:r>
            <a:rPr lang="en-IN" sz="2000" b="1" baseline="0">
              <a:solidFill>
                <a:schemeClr val="bg1"/>
              </a:solidFill>
            </a:rPr>
            <a:t> Revenue</a:t>
          </a:r>
          <a:endParaRPr lang="en-IN" sz="2000" b="1">
            <a:solidFill>
              <a:schemeClr val="bg1"/>
            </a:solidFill>
          </a:endParaRPr>
        </a:p>
      </xdr:txBody>
    </xdr:sp>
    <xdr:clientData/>
  </xdr:twoCellAnchor>
  <xdr:twoCellAnchor>
    <xdr:from>
      <xdr:col>0</xdr:col>
      <xdr:colOff>177800</xdr:colOff>
      <xdr:row>20</xdr:row>
      <xdr:rowOff>143934</xdr:rowOff>
    </xdr:from>
    <xdr:to>
      <xdr:col>3</xdr:col>
      <xdr:colOff>287867</xdr:colOff>
      <xdr:row>23</xdr:row>
      <xdr:rowOff>76200</xdr:rowOff>
    </xdr:to>
    <xdr:sp macro="" textlink="">
      <xdr:nvSpPr>
        <xdr:cNvPr id="23" name="TextBox 22">
          <a:extLst>
            <a:ext uri="{FF2B5EF4-FFF2-40B4-BE49-F238E27FC236}">
              <a16:creationId xmlns:a16="http://schemas.microsoft.com/office/drawing/2014/main" id="{AF05B885-7143-0C9C-6DA4-57E7615FEEA8}"/>
            </a:ext>
          </a:extLst>
        </xdr:cNvPr>
        <xdr:cNvSpPr txBox="1"/>
      </xdr:nvSpPr>
      <xdr:spPr>
        <a:xfrm>
          <a:off x="177800" y="3869267"/>
          <a:ext cx="1938867" cy="4910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Total Sales</a:t>
          </a:r>
        </a:p>
      </xdr:txBody>
    </xdr:sp>
    <xdr:clientData/>
  </xdr:twoCellAnchor>
  <xdr:twoCellAnchor editAs="oneCell">
    <xdr:from>
      <xdr:col>5</xdr:col>
      <xdr:colOff>103910</xdr:colOff>
      <xdr:row>16</xdr:row>
      <xdr:rowOff>86591</xdr:rowOff>
    </xdr:from>
    <xdr:to>
      <xdr:col>6</xdr:col>
      <xdr:colOff>277091</xdr:colOff>
      <xdr:row>19</xdr:row>
      <xdr:rowOff>43296</xdr:rowOff>
    </xdr:to>
    <xdr:pic>
      <xdr:nvPicPr>
        <xdr:cNvPr id="26" name="Picture 25">
          <a:extLst>
            <a:ext uri="{FF2B5EF4-FFF2-40B4-BE49-F238E27FC236}">
              <a16:creationId xmlns:a16="http://schemas.microsoft.com/office/drawing/2014/main" id="{9F668CDD-B731-9FA1-FAE8-E3C4EDDB8321}"/>
            </a:ext>
          </a:extLst>
        </xdr:cNvPr>
        <xdr:cNvPicPr>
          <a:picLocks noChangeAspect="1"/>
        </xdr:cNvPicPr>
      </xdr:nvPicPr>
      <xdr:blipFill>
        <a:blip xmlns:r="http://schemas.openxmlformats.org/officeDocument/2006/relationships" r:embed="rId5"/>
        <a:stretch>
          <a:fillRect/>
        </a:stretch>
      </xdr:blipFill>
      <xdr:spPr>
        <a:xfrm>
          <a:off x="3134592" y="2996046"/>
          <a:ext cx="779317" cy="502227"/>
        </a:xfrm>
        <a:prstGeom prst="rect">
          <a:avLst/>
        </a:prstGeom>
      </xdr:spPr>
    </xdr:pic>
    <xdr:clientData/>
  </xdr:twoCellAnchor>
  <xdr:twoCellAnchor>
    <xdr:from>
      <xdr:col>4</xdr:col>
      <xdr:colOff>181841</xdr:colOff>
      <xdr:row>20</xdr:row>
      <xdr:rowOff>181840</xdr:rowOff>
    </xdr:from>
    <xdr:to>
      <xdr:col>7</xdr:col>
      <xdr:colOff>415636</xdr:colOff>
      <xdr:row>23</xdr:row>
      <xdr:rowOff>173182</xdr:rowOff>
    </xdr:to>
    <xdr:sp macro="" textlink="">
      <xdr:nvSpPr>
        <xdr:cNvPr id="27" name="TextBox 26">
          <a:extLst>
            <a:ext uri="{FF2B5EF4-FFF2-40B4-BE49-F238E27FC236}">
              <a16:creationId xmlns:a16="http://schemas.microsoft.com/office/drawing/2014/main" id="{BD8324D5-53EF-27A5-D826-918687DFD73F}"/>
            </a:ext>
          </a:extLst>
        </xdr:cNvPr>
        <xdr:cNvSpPr txBox="1"/>
      </xdr:nvSpPr>
      <xdr:spPr>
        <a:xfrm>
          <a:off x="2606386" y="3818658"/>
          <a:ext cx="2052205" cy="536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Avg Order Value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bhay Sharma" refreshedDate="46147.043876041665" createdVersion="8" refreshedVersion="8" minRefreshableVersion="3" recordCount="366" xr:uid="{FE44ABFD-CAF3-4538-AEDD-5D74F7502477}">
  <cacheSource type="worksheet">
    <worksheetSource ref="A1:F367" sheet="Raw Data"/>
  </cacheSource>
  <cacheFields count="8">
    <cacheField name="Date " numFmtId="1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7"/>
    </cacheField>
    <cacheField name="Product" numFmtId="0">
      <sharedItems count="4">
        <s v="Jeans"/>
        <s v="Shoes"/>
        <s v="Jacket"/>
        <s v="T-shirt"/>
      </sharedItems>
    </cacheField>
    <cacheField name="Quantity " numFmtId="0">
      <sharedItems containsSemiMixedTypes="0" containsString="0" containsNumber="1" containsInteger="1" minValue="1" maxValue="6"/>
    </cacheField>
    <cacheField name="Price" numFmtId="0">
      <sharedItems containsSemiMixedTypes="0" containsString="0" containsNumber="1" containsInteger="1" minValue="500" maxValue="3000"/>
    </cacheField>
    <cacheField name="Revenue" numFmtId="0">
      <sharedItems containsSemiMixedTypes="0" containsString="0" containsNumber="1" containsInteger="1" minValue="500" maxValue="18000"/>
    </cacheField>
    <cacheField name="Months" numFmtId="0">
      <sharedItems count="12">
        <s v="Jan"/>
        <s v="Feb"/>
        <s v="Mar"/>
        <s v="Apr"/>
        <s v="May"/>
        <s v="Jun"/>
        <s v="Jul"/>
        <s v="Aug"/>
        <s v="Sep"/>
        <s v="Oct"/>
        <s v="Nov"/>
        <s v="Dec"/>
      </sharedItems>
    </cacheField>
    <cacheField name="Days (Date )" numFmtId="0" databaseField="0">
      <fieldGroup base="0">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Date )" numFmtId="0" databaseField="0">
      <fieldGroup base="0">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106910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x v="0"/>
    <x v="0"/>
    <n v="4"/>
    <n v="2000"/>
    <n v="8000"/>
    <x v="0"/>
  </r>
  <r>
    <x v="1"/>
    <x v="1"/>
    <n v="2"/>
    <n v="1500"/>
    <n v="3000"/>
    <x v="0"/>
  </r>
  <r>
    <x v="2"/>
    <x v="1"/>
    <n v="6"/>
    <n v="1500"/>
    <n v="9000"/>
    <x v="0"/>
  </r>
  <r>
    <x v="3"/>
    <x v="2"/>
    <n v="2"/>
    <n v="3000"/>
    <n v="6000"/>
    <x v="0"/>
  </r>
  <r>
    <x v="4"/>
    <x v="1"/>
    <n v="1"/>
    <n v="1500"/>
    <n v="1500"/>
    <x v="0"/>
  </r>
  <r>
    <x v="5"/>
    <x v="1"/>
    <n v="2"/>
    <n v="1500"/>
    <n v="3000"/>
    <x v="0"/>
  </r>
  <r>
    <x v="6"/>
    <x v="2"/>
    <n v="4"/>
    <n v="3000"/>
    <n v="12000"/>
    <x v="0"/>
  </r>
  <r>
    <x v="7"/>
    <x v="1"/>
    <n v="3"/>
    <n v="1500"/>
    <n v="4500"/>
    <x v="0"/>
  </r>
  <r>
    <x v="8"/>
    <x v="3"/>
    <n v="3"/>
    <n v="500"/>
    <n v="1500"/>
    <x v="0"/>
  </r>
  <r>
    <x v="9"/>
    <x v="1"/>
    <n v="4"/>
    <n v="1500"/>
    <n v="6000"/>
    <x v="0"/>
  </r>
  <r>
    <x v="10"/>
    <x v="1"/>
    <n v="3"/>
    <n v="1500"/>
    <n v="4500"/>
    <x v="0"/>
  </r>
  <r>
    <x v="11"/>
    <x v="0"/>
    <n v="6"/>
    <n v="2000"/>
    <n v="12000"/>
    <x v="0"/>
  </r>
  <r>
    <x v="12"/>
    <x v="3"/>
    <n v="4"/>
    <n v="500"/>
    <n v="2000"/>
    <x v="0"/>
  </r>
  <r>
    <x v="13"/>
    <x v="2"/>
    <n v="3"/>
    <n v="3000"/>
    <n v="9000"/>
    <x v="0"/>
  </r>
  <r>
    <x v="14"/>
    <x v="2"/>
    <n v="2"/>
    <n v="3000"/>
    <n v="6000"/>
    <x v="0"/>
  </r>
  <r>
    <x v="15"/>
    <x v="1"/>
    <n v="3"/>
    <n v="1500"/>
    <n v="4500"/>
    <x v="0"/>
  </r>
  <r>
    <x v="16"/>
    <x v="0"/>
    <n v="4"/>
    <n v="2000"/>
    <n v="8000"/>
    <x v="0"/>
  </r>
  <r>
    <x v="17"/>
    <x v="2"/>
    <n v="2"/>
    <n v="3000"/>
    <n v="6000"/>
    <x v="0"/>
  </r>
  <r>
    <x v="18"/>
    <x v="3"/>
    <n v="1"/>
    <n v="500"/>
    <n v="500"/>
    <x v="0"/>
  </r>
  <r>
    <x v="19"/>
    <x v="1"/>
    <n v="5"/>
    <n v="1500"/>
    <n v="7500"/>
    <x v="0"/>
  </r>
  <r>
    <x v="20"/>
    <x v="2"/>
    <n v="5"/>
    <n v="3000"/>
    <n v="15000"/>
    <x v="0"/>
  </r>
  <r>
    <x v="21"/>
    <x v="1"/>
    <n v="3"/>
    <n v="1500"/>
    <n v="4500"/>
    <x v="0"/>
  </r>
  <r>
    <x v="22"/>
    <x v="2"/>
    <n v="6"/>
    <n v="3000"/>
    <n v="18000"/>
    <x v="0"/>
  </r>
  <r>
    <x v="23"/>
    <x v="1"/>
    <n v="6"/>
    <n v="1500"/>
    <n v="9000"/>
    <x v="0"/>
  </r>
  <r>
    <x v="24"/>
    <x v="3"/>
    <n v="6"/>
    <n v="500"/>
    <n v="3000"/>
    <x v="0"/>
  </r>
  <r>
    <x v="25"/>
    <x v="0"/>
    <n v="6"/>
    <n v="2000"/>
    <n v="12000"/>
    <x v="0"/>
  </r>
  <r>
    <x v="26"/>
    <x v="1"/>
    <n v="6"/>
    <n v="1500"/>
    <n v="9000"/>
    <x v="0"/>
  </r>
  <r>
    <x v="27"/>
    <x v="1"/>
    <n v="5"/>
    <n v="1500"/>
    <n v="7500"/>
    <x v="0"/>
  </r>
  <r>
    <x v="28"/>
    <x v="0"/>
    <n v="3"/>
    <n v="2000"/>
    <n v="6000"/>
    <x v="0"/>
  </r>
  <r>
    <x v="29"/>
    <x v="0"/>
    <n v="6"/>
    <n v="2000"/>
    <n v="12000"/>
    <x v="0"/>
  </r>
  <r>
    <x v="30"/>
    <x v="1"/>
    <n v="2"/>
    <n v="1500"/>
    <n v="3000"/>
    <x v="0"/>
  </r>
  <r>
    <x v="31"/>
    <x v="0"/>
    <n v="1"/>
    <n v="2000"/>
    <n v="2000"/>
    <x v="1"/>
  </r>
  <r>
    <x v="32"/>
    <x v="0"/>
    <n v="4"/>
    <n v="2000"/>
    <n v="8000"/>
    <x v="1"/>
  </r>
  <r>
    <x v="33"/>
    <x v="0"/>
    <n v="4"/>
    <n v="2000"/>
    <n v="8000"/>
    <x v="1"/>
  </r>
  <r>
    <x v="34"/>
    <x v="0"/>
    <n v="2"/>
    <n v="2000"/>
    <n v="4000"/>
    <x v="1"/>
  </r>
  <r>
    <x v="35"/>
    <x v="1"/>
    <n v="6"/>
    <n v="1500"/>
    <n v="9000"/>
    <x v="1"/>
  </r>
  <r>
    <x v="36"/>
    <x v="3"/>
    <n v="3"/>
    <n v="500"/>
    <n v="1500"/>
    <x v="1"/>
  </r>
  <r>
    <x v="37"/>
    <x v="1"/>
    <n v="3"/>
    <n v="1500"/>
    <n v="4500"/>
    <x v="1"/>
  </r>
  <r>
    <x v="38"/>
    <x v="2"/>
    <n v="3"/>
    <n v="3000"/>
    <n v="9000"/>
    <x v="1"/>
  </r>
  <r>
    <x v="39"/>
    <x v="3"/>
    <n v="1"/>
    <n v="500"/>
    <n v="500"/>
    <x v="1"/>
  </r>
  <r>
    <x v="40"/>
    <x v="2"/>
    <n v="5"/>
    <n v="3000"/>
    <n v="15000"/>
    <x v="1"/>
  </r>
  <r>
    <x v="41"/>
    <x v="0"/>
    <n v="2"/>
    <n v="2000"/>
    <n v="4000"/>
    <x v="1"/>
  </r>
  <r>
    <x v="42"/>
    <x v="2"/>
    <n v="6"/>
    <n v="3000"/>
    <n v="18000"/>
    <x v="1"/>
  </r>
  <r>
    <x v="43"/>
    <x v="1"/>
    <n v="4"/>
    <n v="1500"/>
    <n v="6000"/>
    <x v="1"/>
  </r>
  <r>
    <x v="44"/>
    <x v="1"/>
    <n v="1"/>
    <n v="1500"/>
    <n v="1500"/>
    <x v="1"/>
  </r>
  <r>
    <x v="45"/>
    <x v="3"/>
    <n v="4"/>
    <n v="500"/>
    <n v="2000"/>
    <x v="1"/>
  </r>
  <r>
    <x v="46"/>
    <x v="3"/>
    <n v="5"/>
    <n v="500"/>
    <n v="2500"/>
    <x v="1"/>
  </r>
  <r>
    <x v="47"/>
    <x v="0"/>
    <n v="3"/>
    <n v="2000"/>
    <n v="6000"/>
    <x v="1"/>
  </r>
  <r>
    <x v="48"/>
    <x v="1"/>
    <n v="3"/>
    <n v="1500"/>
    <n v="4500"/>
    <x v="1"/>
  </r>
  <r>
    <x v="49"/>
    <x v="3"/>
    <n v="4"/>
    <n v="500"/>
    <n v="2000"/>
    <x v="1"/>
  </r>
  <r>
    <x v="50"/>
    <x v="2"/>
    <n v="2"/>
    <n v="3000"/>
    <n v="6000"/>
    <x v="1"/>
  </r>
  <r>
    <x v="51"/>
    <x v="1"/>
    <n v="3"/>
    <n v="1500"/>
    <n v="4500"/>
    <x v="1"/>
  </r>
  <r>
    <x v="52"/>
    <x v="3"/>
    <n v="3"/>
    <n v="500"/>
    <n v="1500"/>
    <x v="1"/>
  </r>
  <r>
    <x v="53"/>
    <x v="3"/>
    <n v="5"/>
    <n v="500"/>
    <n v="2500"/>
    <x v="1"/>
  </r>
  <r>
    <x v="54"/>
    <x v="1"/>
    <n v="6"/>
    <n v="1500"/>
    <n v="9000"/>
    <x v="1"/>
  </r>
  <r>
    <x v="55"/>
    <x v="2"/>
    <n v="6"/>
    <n v="3000"/>
    <n v="18000"/>
    <x v="1"/>
  </r>
  <r>
    <x v="56"/>
    <x v="0"/>
    <n v="3"/>
    <n v="2000"/>
    <n v="6000"/>
    <x v="1"/>
  </r>
  <r>
    <x v="57"/>
    <x v="1"/>
    <n v="1"/>
    <n v="1500"/>
    <n v="1500"/>
    <x v="1"/>
  </r>
  <r>
    <x v="58"/>
    <x v="2"/>
    <n v="6"/>
    <n v="3000"/>
    <n v="18000"/>
    <x v="1"/>
  </r>
  <r>
    <x v="59"/>
    <x v="3"/>
    <n v="5"/>
    <n v="500"/>
    <n v="2500"/>
    <x v="1"/>
  </r>
  <r>
    <x v="60"/>
    <x v="0"/>
    <n v="2"/>
    <n v="2000"/>
    <n v="4000"/>
    <x v="2"/>
  </r>
  <r>
    <x v="61"/>
    <x v="1"/>
    <n v="3"/>
    <n v="1500"/>
    <n v="4500"/>
    <x v="2"/>
  </r>
  <r>
    <x v="62"/>
    <x v="3"/>
    <n v="1"/>
    <n v="500"/>
    <n v="500"/>
    <x v="2"/>
  </r>
  <r>
    <x v="63"/>
    <x v="3"/>
    <n v="5"/>
    <n v="500"/>
    <n v="2500"/>
    <x v="2"/>
  </r>
  <r>
    <x v="64"/>
    <x v="0"/>
    <n v="6"/>
    <n v="2000"/>
    <n v="12000"/>
    <x v="2"/>
  </r>
  <r>
    <x v="65"/>
    <x v="3"/>
    <n v="6"/>
    <n v="500"/>
    <n v="3000"/>
    <x v="2"/>
  </r>
  <r>
    <x v="66"/>
    <x v="2"/>
    <n v="4"/>
    <n v="3000"/>
    <n v="12000"/>
    <x v="2"/>
  </r>
  <r>
    <x v="67"/>
    <x v="0"/>
    <n v="1"/>
    <n v="2000"/>
    <n v="2000"/>
    <x v="2"/>
  </r>
  <r>
    <x v="68"/>
    <x v="3"/>
    <n v="1"/>
    <n v="500"/>
    <n v="500"/>
    <x v="2"/>
  </r>
  <r>
    <x v="69"/>
    <x v="2"/>
    <n v="3"/>
    <n v="3000"/>
    <n v="9000"/>
    <x v="2"/>
  </r>
  <r>
    <x v="70"/>
    <x v="0"/>
    <n v="1"/>
    <n v="2000"/>
    <n v="2000"/>
    <x v="2"/>
  </r>
  <r>
    <x v="71"/>
    <x v="3"/>
    <n v="2"/>
    <n v="500"/>
    <n v="1000"/>
    <x v="2"/>
  </r>
  <r>
    <x v="72"/>
    <x v="2"/>
    <n v="3"/>
    <n v="3000"/>
    <n v="9000"/>
    <x v="2"/>
  </r>
  <r>
    <x v="73"/>
    <x v="3"/>
    <n v="2"/>
    <n v="500"/>
    <n v="1000"/>
    <x v="2"/>
  </r>
  <r>
    <x v="74"/>
    <x v="1"/>
    <n v="3"/>
    <n v="1500"/>
    <n v="4500"/>
    <x v="2"/>
  </r>
  <r>
    <x v="75"/>
    <x v="2"/>
    <n v="2"/>
    <n v="3000"/>
    <n v="6000"/>
    <x v="2"/>
  </r>
  <r>
    <x v="76"/>
    <x v="3"/>
    <n v="4"/>
    <n v="500"/>
    <n v="2000"/>
    <x v="2"/>
  </r>
  <r>
    <x v="77"/>
    <x v="0"/>
    <n v="4"/>
    <n v="2000"/>
    <n v="8000"/>
    <x v="2"/>
  </r>
  <r>
    <x v="78"/>
    <x v="3"/>
    <n v="1"/>
    <n v="500"/>
    <n v="500"/>
    <x v="2"/>
  </r>
  <r>
    <x v="79"/>
    <x v="0"/>
    <n v="5"/>
    <n v="2000"/>
    <n v="10000"/>
    <x v="2"/>
  </r>
  <r>
    <x v="80"/>
    <x v="3"/>
    <n v="1"/>
    <n v="500"/>
    <n v="500"/>
    <x v="2"/>
  </r>
  <r>
    <x v="81"/>
    <x v="2"/>
    <n v="1"/>
    <n v="3000"/>
    <n v="3000"/>
    <x v="2"/>
  </r>
  <r>
    <x v="82"/>
    <x v="1"/>
    <n v="6"/>
    <n v="1500"/>
    <n v="9000"/>
    <x v="2"/>
  </r>
  <r>
    <x v="83"/>
    <x v="0"/>
    <n v="3"/>
    <n v="2000"/>
    <n v="6000"/>
    <x v="2"/>
  </r>
  <r>
    <x v="84"/>
    <x v="3"/>
    <n v="6"/>
    <n v="500"/>
    <n v="3000"/>
    <x v="2"/>
  </r>
  <r>
    <x v="85"/>
    <x v="3"/>
    <n v="1"/>
    <n v="500"/>
    <n v="500"/>
    <x v="2"/>
  </r>
  <r>
    <x v="86"/>
    <x v="3"/>
    <n v="1"/>
    <n v="500"/>
    <n v="500"/>
    <x v="2"/>
  </r>
  <r>
    <x v="87"/>
    <x v="1"/>
    <n v="4"/>
    <n v="1500"/>
    <n v="6000"/>
    <x v="2"/>
  </r>
  <r>
    <x v="88"/>
    <x v="1"/>
    <n v="1"/>
    <n v="1500"/>
    <n v="1500"/>
    <x v="2"/>
  </r>
  <r>
    <x v="89"/>
    <x v="1"/>
    <n v="5"/>
    <n v="1500"/>
    <n v="7500"/>
    <x v="2"/>
  </r>
  <r>
    <x v="90"/>
    <x v="3"/>
    <n v="3"/>
    <n v="500"/>
    <n v="1500"/>
    <x v="2"/>
  </r>
  <r>
    <x v="91"/>
    <x v="1"/>
    <n v="5"/>
    <n v="1500"/>
    <n v="7500"/>
    <x v="3"/>
  </r>
  <r>
    <x v="92"/>
    <x v="0"/>
    <n v="3"/>
    <n v="2000"/>
    <n v="6000"/>
    <x v="3"/>
  </r>
  <r>
    <x v="93"/>
    <x v="3"/>
    <n v="2"/>
    <n v="500"/>
    <n v="1000"/>
    <x v="3"/>
  </r>
  <r>
    <x v="94"/>
    <x v="3"/>
    <n v="4"/>
    <n v="500"/>
    <n v="2000"/>
    <x v="3"/>
  </r>
  <r>
    <x v="95"/>
    <x v="3"/>
    <n v="3"/>
    <n v="500"/>
    <n v="1500"/>
    <x v="3"/>
  </r>
  <r>
    <x v="96"/>
    <x v="2"/>
    <n v="5"/>
    <n v="3000"/>
    <n v="15000"/>
    <x v="3"/>
  </r>
  <r>
    <x v="97"/>
    <x v="3"/>
    <n v="1"/>
    <n v="500"/>
    <n v="500"/>
    <x v="3"/>
  </r>
  <r>
    <x v="98"/>
    <x v="0"/>
    <n v="1"/>
    <n v="2000"/>
    <n v="2000"/>
    <x v="3"/>
  </r>
  <r>
    <x v="99"/>
    <x v="2"/>
    <n v="5"/>
    <n v="3000"/>
    <n v="15000"/>
    <x v="3"/>
  </r>
  <r>
    <x v="100"/>
    <x v="3"/>
    <n v="2"/>
    <n v="500"/>
    <n v="1000"/>
    <x v="3"/>
  </r>
  <r>
    <x v="101"/>
    <x v="0"/>
    <n v="3"/>
    <n v="2000"/>
    <n v="6000"/>
    <x v="3"/>
  </r>
  <r>
    <x v="102"/>
    <x v="1"/>
    <n v="3"/>
    <n v="1500"/>
    <n v="4500"/>
    <x v="3"/>
  </r>
  <r>
    <x v="103"/>
    <x v="1"/>
    <n v="1"/>
    <n v="1500"/>
    <n v="1500"/>
    <x v="3"/>
  </r>
  <r>
    <x v="104"/>
    <x v="3"/>
    <n v="5"/>
    <n v="500"/>
    <n v="2500"/>
    <x v="3"/>
  </r>
  <r>
    <x v="105"/>
    <x v="2"/>
    <n v="3"/>
    <n v="3000"/>
    <n v="9000"/>
    <x v="3"/>
  </r>
  <r>
    <x v="106"/>
    <x v="0"/>
    <n v="1"/>
    <n v="2000"/>
    <n v="2000"/>
    <x v="3"/>
  </r>
  <r>
    <x v="107"/>
    <x v="0"/>
    <n v="1"/>
    <n v="2000"/>
    <n v="2000"/>
    <x v="3"/>
  </r>
  <r>
    <x v="108"/>
    <x v="3"/>
    <n v="4"/>
    <n v="500"/>
    <n v="2000"/>
    <x v="3"/>
  </r>
  <r>
    <x v="109"/>
    <x v="1"/>
    <n v="5"/>
    <n v="1500"/>
    <n v="7500"/>
    <x v="3"/>
  </r>
  <r>
    <x v="110"/>
    <x v="3"/>
    <n v="3"/>
    <n v="500"/>
    <n v="1500"/>
    <x v="3"/>
  </r>
  <r>
    <x v="111"/>
    <x v="0"/>
    <n v="1"/>
    <n v="2000"/>
    <n v="2000"/>
    <x v="3"/>
  </r>
  <r>
    <x v="112"/>
    <x v="2"/>
    <n v="3"/>
    <n v="3000"/>
    <n v="9000"/>
    <x v="3"/>
  </r>
  <r>
    <x v="113"/>
    <x v="2"/>
    <n v="2"/>
    <n v="3000"/>
    <n v="6000"/>
    <x v="3"/>
  </r>
  <r>
    <x v="114"/>
    <x v="3"/>
    <n v="2"/>
    <n v="500"/>
    <n v="1000"/>
    <x v="3"/>
  </r>
  <r>
    <x v="115"/>
    <x v="1"/>
    <n v="5"/>
    <n v="1500"/>
    <n v="7500"/>
    <x v="3"/>
  </r>
  <r>
    <x v="116"/>
    <x v="0"/>
    <n v="1"/>
    <n v="2000"/>
    <n v="2000"/>
    <x v="3"/>
  </r>
  <r>
    <x v="117"/>
    <x v="1"/>
    <n v="6"/>
    <n v="1500"/>
    <n v="9000"/>
    <x v="3"/>
  </r>
  <r>
    <x v="118"/>
    <x v="3"/>
    <n v="2"/>
    <n v="500"/>
    <n v="1000"/>
    <x v="3"/>
  </r>
  <r>
    <x v="119"/>
    <x v="1"/>
    <n v="4"/>
    <n v="1500"/>
    <n v="6000"/>
    <x v="3"/>
  </r>
  <r>
    <x v="120"/>
    <x v="1"/>
    <n v="2"/>
    <n v="1500"/>
    <n v="3000"/>
    <x v="3"/>
  </r>
  <r>
    <x v="121"/>
    <x v="3"/>
    <n v="2"/>
    <n v="500"/>
    <n v="1000"/>
    <x v="4"/>
  </r>
  <r>
    <x v="122"/>
    <x v="2"/>
    <n v="5"/>
    <n v="3000"/>
    <n v="15000"/>
    <x v="4"/>
  </r>
  <r>
    <x v="123"/>
    <x v="1"/>
    <n v="2"/>
    <n v="1500"/>
    <n v="3000"/>
    <x v="4"/>
  </r>
  <r>
    <x v="124"/>
    <x v="0"/>
    <n v="2"/>
    <n v="2000"/>
    <n v="4000"/>
    <x v="4"/>
  </r>
  <r>
    <x v="125"/>
    <x v="2"/>
    <n v="1"/>
    <n v="3000"/>
    <n v="3000"/>
    <x v="4"/>
  </r>
  <r>
    <x v="126"/>
    <x v="0"/>
    <n v="4"/>
    <n v="2000"/>
    <n v="8000"/>
    <x v="4"/>
  </r>
  <r>
    <x v="127"/>
    <x v="1"/>
    <n v="2"/>
    <n v="1500"/>
    <n v="3000"/>
    <x v="4"/>
  </r>
  <r>
    <x v="128"/>
    <x v="2"/>
    <n v="6"/>
    <n v="3000"/>
    <n v="18000"/>
    <x v="4"/>
  </r>
  <r>
    <x v="129"/>
    <x v="2"/>
    <n v="3"/>
    <n v="3000"/>
    <n v="9000"/>
    <x v="4"/>
  </r>
  <r>
    <x v="130"/>
    <x v="2"/>
    <n v="5"/>
    <n v="3000"/>
    <n v="15000"/>
    <x v="4"/>
  </r>
  <r>
    <x v="131"/>
    <x v="2"/>
    <n v="5"/>
    <n v="3000"/>
    <n v="15000"/>
    <x v="4"/>
  </r>
  <r>
    <x v="132"/>
    <x v="1"/>
    <n v="5"/>
    <n v="1500"/>
    <n v="7500"/>
    <x v="4"/>
  </r>
  <r>
    <x v="133"/>
    <x v="2"/>
    <n v="4"/>
    <n v="3000"/>
    <n v="12000"/>
    <x v="4"/>
  </r>
  <r>
    <x v="134"/>
    <x v="3"/>
    <n v="1"/>
    <n v="500"/>
    <n v="500"/>
    <x v="4"/>
  </r>
  <r>
    <x v="135"/>
    <x v="1"/>
    <n v="4"/>
    <n v="1500"/>
    <n v="6000"/>
    <x v="4"/>
  </r>
  <r>
    <x v="136"/>
    <x v="1"/>
    <n v="4"/>
    <n v="1500"/>
    <n v="6000"/>
    <x v="4"/>
  </r>
  <r>
    <x v="137"/>
    <x v="0"/>
    <n v="4"/>
    <n v="2000"/>
    <n v="8000"/>
    <x v="4"/>
  </r>
  <r>
    <x v="138"/>
    <x v="1"/>
    <n v="5"/>
    <n v="1500"/>
    <n v="7500"/>
    <x v="4"/>
  </r>
  <r>
    <x v="139"/>
    <x v="3"/>
    <n v="1"/>
    <n v="500"/>
    <n v="500"/>
    <x v="4"/>
  </r>
  <r>
    <x v="140"/>
    <x v="0"/>
    <n v="1"/>
    <n v="2000"/>
    <n v="2000"/>
    <x v="4"/>
  </r>
  <r>
    <x v="141"/>
    <x v="1"/>
    <n v="4"/>
    <n v="1500"/>
    <n v="6000"/>
    <x v="4"/>
  </r>
  <r>
    <x v="142"/>
    <x v="0"/>
    <n v="1"/>
    <n v="2000"/>
    <n v="2000"/>
    <x v="4"/>
  </r>
  <r>
    <x v="143"/>
    <x v="2"/>
    <n v="1"/>
    <n v="3000"/>
    <n v="3000"/>
    <x v="4"/>
  </r>
  <r>
    <x v="144"/>
    <x v="0"/>
    <n v="6"/>
    <n v="2000"/>
    <n v="12000"/>
    <x v="4"/>
  </r>
  <r>
    <x v="145"/>
    <x v="3"/>
    <n v="1"/>
    <n v="500"/>
    <n v="500"/>
    <x v="4"/>
  </r>
  <r>
    <x v="146"/>
    <x v="1"/>
    <n v="4"/>
    <n v="1500"/>
    <n v="6000"/>
    <x v="4"/>
  </r>
  <r>
    <x v="147"/>
    <x v="2"/>
    <n v="6"/>
    <n v="3000"/>
    <n v="18000"/>
    <x v="4"/>
  </r>
  <r>
    <x v="148"/>
    <x v="0"/>
    <n v="4"/>
    <n v="2000"/>
    <n v="8000"/>
    <x v="4"/>
  </r>
  <r>
    <x v="149"/>
    <x v="0"/>
    <n v="3"/>
    <n v="2000"/>
    <n v="6000"/>
    <x v="4"/>
  </r>
  <r>
    <x v="150"/>
    <x v="0"/>
    <n v="3"/>
    <n v="2000"/>
    <n v="6000"/>
    <x v="4"/>
  </r>
  <r>
    <x v="151"/>
    <x v="0"/>
    <n v="5"/>
    <n v="2000"/>
    <n v="10000"/>
    <x v="4"/>
  </r>
  <r>
    <x v="152"/>
    <x v="1"/>
    <n v="5"/>
    <n v="1500"/>
    <n v="7500"/>
    <x v="5"/>
  </r>
  <r>
    <x v="153"/>
    <x v="2"/>
    <n v="5"/>
    <n v="3000"/>
    <n v="15000"/>
    <x v="5"/>
  </r>
  <r>
    <x v="154"/>
    <x v="3"/>
    <n v="6"/>
    <n v="500"/>
    <n v="3000"/>
    <x v="5"/>
  </r>
  <r>
    <x v="155"/>
    <x v="2"/>
    <n v="4"/>
    <n v="3000"/>
    <n v="12000"/>
    <x v="5"/>
  </r>
  <r>
    <x v="156"/>
    <x v="0"/>
    <n v="4"/>
    <n v="2000"/>
    <n v="8000"/>
    <x v="5"/>
  </r>
  <r>
    <x v="157"/>
    <x v="1"/>
    <n v="4"/>
    <n v="1500"/>
    <n v="6000"/>
    <x v="5"/>
  </r>
  <r>
    <x v="158"/>
    <x v="0"/>
    <n v="2"/>
    <n v="2000"/>
    <n v="4000"/>
    <x v="5"/>
  </r>
  <r>
    <x v="159"/>
    <x v="0"/>
    <n v="2"/>
    <n v="2000"/>
    <n v="4000"/>
    <x v="5"/>
  </r>
  <r>
    <x v="160"/>
    <x v="1"/>
    <n v="4"/>
    <n v="1500"/>
    <n v="6000"/>
    <x v="5"/>
  </r>
  <r>
    <x v="161"/>
    <x v="2"/>
    <n v="5"/>
    <n v="3000"/>
    <n v="15000"/>
    <x v="5"/>
  </r>
  <r>
    <x v="162"/>
    <x v="3"/>
    <n v="1"/>
    <n v="500"/>
    <n v="500"/>
    <x v="5"/>
  </r>
  <r>
    <x v="163"/>
    <x v="2"/>
    <n v="2"/>
    <n v="3000"/>
    <n v="6000"/>
    <x v="5"/>
  </r>
  <r>
    <x v="164"/>
    <x v="0"/>
    <n v="1"/>
    <n v="2000"/>
    <n v="2000"/>
    <x v="5"/>
  </r>
  <r>
    <x v="165"/>
    <x v="0"/>
    <n v="2"/>
    <n v="2000"/>
    <n v="4000"/>
    <x v="5"/>
  </r>
  <r>
    <x v="166"/>
    <x v="1"/>
    <n v="5"/>
    <n v="1500"/>
    <n v="7500"/>
    <x v="5"/>
  </r>
  <r>
    <x v="167"/>
    <x v="1"/>
    <n v="5"/>
    <n v="1500"/>
    <n v="7500"/>
    <x v="5"/>
  </r>
  <r>
    <x v="168"/>
    <x v="3"/>
    <n v="2"/>
    <n v="500"/>
    <n v="1000"/>
    <x v="5"/>
  </r>
  <r>
    <x v="169"/>
    <x v="3"/>
    <n v="5"/>
    <n v="500"/>
    <n v="2500"/>
    <x v="5"/>
  </r>
  <r>
    <x v="170"/>
    <x v="0"/>
    <n v="1"/>
    <n v="2000"/>
    <n v="2000"/>
    <x v="5"/>
  </r>
  <r>
    <x v="171"/>
    <x v="1"/>
    <n v="1"/>
    <n v="1500"/>
    <n v="1500"/>
    <x v="5"/>
  </r>
  <r>
    <x v="172"/>
    <x v="0"/>
    <n v="6"/>
    <n v="2000"/>
    <n v="12000"/>
    <x v="5"/>
  </r>
  <r>
    <x v="173"/>
    <x v="2"/>
    <n v="5"/>
    <n v="3000"/>
    <n v="15000"/>
    <x v="5"/>
  </r>
  <r>
    <x v="174"/>
    <x v="0"/>
    <n v="5"/>
    <n v="2000"/>
    <n v="10000"/>
    <x v="5"/>
  </r>
  <r>
    <x v="175"/>
    <x v="1"/>
    <n v="6"/>
    <n v="1500"/>
    <n v="9000"/>
    <x v="5"/>
  </r>
  <r>
    <x v="176"/>
    <x v="2"/>
    <n v="6"/>
    <n v="3000"/>
    <n v="18000"/>
    <x v="5"/>
  </r>
  <r>
    <x v="177"/>
    <x v="2"/>
    <n v="4"/>
    <n v="3000"/>
    <n v="12000"/>
    <x v="5"/>
  </r>
  <r>
    <x v="178"/>
    <x v="2"/>
    <n v="6"/>
    <n v="3000"/>
    <n v="18000"/>
    <x v="5"/>
  </r>
  <r>
    <x v="179"/>
    <x v="2"/>
    <n v="3"/>
    <n v="3000"/>
    <n v="9000"/>
    <x v="5"/>
  </r>
  <r>
    <x v="180"/>
    <x v="3"/>
    <n v="3"/>
    <n v="500"/>
    <n v="1500"/>
    <x v="5"/>
  </r>
  <r>
    <x v="181"/>
    <x v="1"/>
    <n v="5"/>
    <n v="1500"/>
    <n v="7500"/>
    <x v="5"/>
  </r>
  <r>
    <x v="182"/>
    <x v="2"/>
    <n v="3"/>
    <n v="3000"/>
    <n v="9000"/>
    <x v="6"/>
  </r>
  <r>
    <x v="183"/>
    <x v="2"/>
    <n v="5"/>
    <n v="3000"/>
    <n v="15000"/>
    <x v="6"/>
  </r>
  <r>
    <x v="184"/>
    <x v="3"/>
    <n v="4"/>
    <n v="500"/>
    <n v="2000"/>
    <x v="6"/>
  </r>
  <r>
    <x v="185"/>
    <x v="0"/>
    <n v="2"/>
    <n v="2000"/>
    <n v="4000"/>
    <x v="6"/>
  </r>
  <r>
    <x v="186"/>
    <x v="0"/>
    <n v="4"/>
    <n v="2000"/>
    <n v="8000"/>
    <x v="6"/>
  </r>
  <r>
    <x v="187"/>
    <x v="0"/>
    <n v="5"/>
    <n v="2000"/>
    <n v="10000"/>
    <x v="6"/>
  </r>
  <r>
    <x v="188"/>
    <x v="0"/>
    <n v="4"/>
    <n v="2000"/>
    <n v="8000"/>
    <x v="6"/>
  </r>
  <r>
    <x v="189"/>
    <x v="2"/>
    <n v="6"/>
    <n v="3000"/>
    <n v="18000"/>
    <x v="6"/>
  </r>
  <r>
    <x v="190"/>
    <x v="3"/>
    <n v="2"/>
    <n v="500"/>
    <n v="1000"/>
    <x v="6"/>
  </r>
  <r>
    <x v="191"/>
    <x v="3"/>
    <n v="1"/>
    <n v="500"/>
    <n v="500"/>
    <x v="6"/>
  </r>
  <r>
    <x v="192"/>
    <x v="3"/>
    <n v="1"/>
    <n v="500"/>
    <n v="500"/>
    <x v="6"/>
  </r>
  <r>
    <x v="193"/>
    <x v="3"/>
    <n v="3"/>
    <n v="500"/>
    <n v="1500"/>
    <x v="6"/>
  </r>
  <r>
    <x v="194"/>
    <x v="2"/>
    <n v="2"/>
    <n v="3000"/>
    <n v="6000"/>
    <x v="6"/>
  </r>
  <r>
    <x v="195"/>
    <x v="3"/>
    <n v="2"/>
    <n v="500"/>
    <n v="1000"/>
    <x v="6"/>
  </r>
  <r>
    <x v="196"/>
    <x v="3"/>
    <n v="2"/>
    <n v="500"/>
    <n v="1000"/>
    <x v="6"/>
  </r>
  <r>
    <x v="197"/>
    <x v="2"/>
    <n v="6"/>
    <n v="3000"/>
    <n v="18000"/>
    <x v="6"/>
  </r>
  <r>
    <x v="198"/>
    <x v="0"/>
    <n v="1"/>
    <n v="2000"/>
    <n v="2000"/>
    <x v="6"/>
  </r>
  <r>
    <x v="199"/>
    <x v="1"/>
    <n v="4"/>
    <n v="1500"/>
    <n v="6000"/>
    <x v="6"/>
  </r>
  <r>
    <x v="200"/>
    <x v="0"/>
    <n v="4"/>
    <n v="2000"/>
    <n v="8000"/>
    <x v="6"/>
  </r>
  <r>
    <x v="201"/>
    <x v="0"/>
    <n v="6"/>
    <n v="2000"/>
    <n v="12000"/>
    <x v="6"/>
  </r>
  <r>
    <x v="202"/>
    <x v="3"/>
    <n v="2"/>
    <n v="500"/>
    <n v="1000"/>
    <x v="6"/>
  </r>
  <r>
    <x v="203"/>
    <x v="1"/>
    <n v="1"/>
    <n v="1500"/>
    <n v="1500"/>
    <x v="6"/>
  </r>
  <r>
    <x v="204"/>
    <x v="0"/>
    <n v="3"/>
    <n v="2000"/>
    <n v="6000"/>
    <x v="6"/>
  </r>
  <r>
    <x v="205"/>
    <x v="1"/>
    <n v="4"/>
    <n v="1500"/>
    <n v="6000"/>
    <x v="6"/>
  </r>
  <r>
    <x v="206"/>
    <x v="1"/>
    <n v="4"/>
    <n v="1500"/>
    <n v="6000"/>
    <x v="6"/>
  </r>
  <r>
    <x v="207"/>
    <x v="1"/>
    <n v="5"/>
    <n v="1500"/>
    <n v="7500"/>
    <x v="6"/>
  </r>
  <r>
    <x v="208"/>
    <x v="3"/>
    <n v="2"/>
    <n v="500"/>
    <n v="1000"/>
    <x v="6"/>
  </r>
  <r>
    <x v="209"/>
    <x v="0"/>
    <n v="4"/>
    <n v="2000"/>
    <n v="8000"/>
    <x v="6"/>
  </r>
  <r>
    <x v="210"/>
    <x v="0"/>
    <n v="2"/>
    <n v="2000"/>
    <n v="4000"/>
    <x v="6"/>
  </r>
  <r>
    <x v="211"/>
    <x v="3"/>
    <n v="2"/>
    <n v="500"/>
    <n v="1000"/>
    <x v="6"/>
  </r>
  <r>
    <x v="212"/>
    <x v="0"/>
    <n v="2"/>
    <n v="2000"/>
    <n v="4000"/>
    <x v="6"/>
  </r>
  <r>
    <x v="213"/>
    <x v="0"/>
    <n v="4"/>
    <n v="2000"/>
    <n v="8000"/>
    <x v="7"/>
  </r>
  <r>
    <x v="214"/>
    <x v="1"/>
    <n v="4"/>
    <n v="1500"/>
    <n v="6000"/>
    <x v="7"/>
  </r>
  <r>
    <x v="215"/>
    <x v="2"/>
    <n v="2"/>
    <n v="3000"/>
    <n v="6000"/>
    <x v="7"/>
  </r>
  <r>
    <x v="216"/>
    <x v="1"/>
    <n v="2"/>
    <n v="1500"/>
    <n v="3000"/>
    <x v="7"/>
  </r>
  <r>
    <x v="217"/>
    <x v="2"/>
    <n v="3"/>
    <n v="3000"/>
    <n v="9000"/>
    <x v="7"/>
  </r>
  <r>
    <x v="218"/>
    <x v="0"/>
    <n v="5"/>
    <n v="2000"/>
    <n v="10000"/>
    <x v="7"/>
  </r>
  <r>
    <x v="219"/>
    <x v="1"/>
    <n v="6"/>
    <n v="1500"/>
    <n v="9000"/>
    <x v="7"/>
  </r>
  <r>
    <x v="220"/>
    <x v="1"/>
    <n v="4"/>
    <n v="1500"/>
    <n v="6000"/>
    <x v="7"/>
  </r>
  <r>
    <x v="221"/>
    <x v="0"/>
    <n v="6"/>
    <n v="2000"/>
    <n v="12000"/>
    <x v="7"/>
  </r>
  <r>
    <x v="222"/>
    <x v="0"/>
    <n v="2"/>
    <n v="2000"/>
    <n v="4000"/>
    <x v="7"/>
  </r>
  <r>
    <x v="223"/>
    <x v="2"/>
    <n v="6"/>
    <n v="3000"/>
    <n v="18000"/>
    <x v="7"/>
  </r>
  <r>
    <x v="224"/>
    <x v="2"/>
    <n v="5"/>
    <n v="3000"/>
    <n v="15000"/>
    <x v="7"/>
  </r>
  <r>
    <x v="225"/>
    <x v="2"/>
    <n v="2"/>
    <n v="3000"/>
    <n v="6000"/>
    <x v="7"/>
  </r>
  <r>
    <x v="226"/>
    <x v="0"/>
    <n v="5"/>
    <n v="2000"/>
    <n v="10000"/>
    <x v="7"/>
  </r>
  <r>
    <x v="227"/>
    <x v="3"/>
    <n v="4"/>
    <n v="500"/>
    <n v="2000"/>
    <x v="7"/>
  </r>
  <r>
    <x v="228"/>
    <x v="2"/>
    <n v="3"/>
    <n v="3000"/>
    <n v="9000"/>
    <x v="7"/>
  </r>
  <r>
    <x v="229"/>
    <x v="3"/>
    <n v="3"/>
    <n v="500"/>
    <n v="1500"/>
    <x v="7"/>
  </r>
  <r>
    <x v="230"/>
    <x v="3"/>
    <n v="5"/>
    <n v="500"/>
    <n v="2500"/>
    <x v="7"/>
  </r>
  <r>
    <x v="231"/>
    <x v="0"/>
    <n v="1"/>
    <n v="2000"/>
    <n v="2000"/>
    <x v="7"/>
  </r>
  <r>
    <x v="232"/>
    <x v="3"/>
    <n v="1"/>
    <n v="500"/>
    <n v="500"/>
    <x v="7"/>
  </r>
  <r>
    <x v="233"/>
    <x v="3"/>
    <n v="1"/>
    <n v="500"/>
    <n v="500"/>
    <x v="7"/>
  </r>
  <r>
    <x v="234"/>
    <x v="0"/>
    <n v="4"/>
    <n v="2000"/>
    <n v="8000"/>
    <x v="7"/>
  </r>
  <r>
    <x v="235"/>
    <x v="0"/>
    <n v="6"/>
    <n v="2000"/>
    <n v="12000"/>
    <x v="7"/>
  </r>
  <r>
    <x v="236"/>
    <x v="0"/>
    <n v="1"/>
    <n v="2000"/>
    <n v="2000"/>
    <x v="7"/>
  </r>
  <r>
    <x v="237"/>
    <x v="1"/>
    <n v="6"/>
    <n v="1500"/>
    <n v="9000"/>
    <x v="7"/>
  </r>
  <r>
    <x v="238"/>
    <x v="0"/>
    <n v="5"/>
    <n v="2000"/>
    <n v="10000"/>
    <x v="7"/>
  </r>
  <r>
    <x v="239"/>
    <x v="0"/>
    <n v="5"/>
    <n v="2000"/>
    <n v="10000"/>
    <x v="7"/>
  </r>
  <r>
    <x v="240"/>
    <x v="2"/>
    <n v="4"/>
    <n v="3000"/>
    <n v="12000"/>
    <x v="7"/>
  </r>
  <r>
    <x v="241"/>
    <x v="3"/>
    <n v="3"/>
    <n v="500"/>
    <n v="1500"/>
    <x v="7"/>
  </r>
  <r>
    <x v="242"/>
    <x v="0"/>
    <n v="2"/>
    <n v="2000"/>
    <n v="4000"/>
    <x v="7"/>
  </r>
  <r>
    <x v="243"/>
    <x v="0"/>
    <n v="6"/>
    <n v="2000"/>
    <n v="12000"/>
    <x v="7"/>
  </r>
  <r>
    <x v="244"/>
    <x v="1"/>
    <n v="2"/>
    <n v="1500"/>
    <n v="3000"/>
    <x v="8"/>
  </r>
  <r>
    <x v="245"/>
    <x v="3"/>
    <n v="3"/>
    <n v="500"/>
    <n v="1500"/>
    <x v="8"/>
  </r>
  <r>
    <x v="246"/>
    <x v="3"/>
    <n v="1"/>
    <n v="500"/>
    <n v="500"/>
    <x v="8"/>
  </r>
  <r>
    <x v="247"/>
    <x v="2"/>
    <n v="1"/>
    <n v="3000"/>
    <n v="3000"/>
    <x v="8"/>
  </r>
  <r>
    <x v="248"/>
    <x v="0"/>
    <n v="6"/>
    <n v="2000"/>
    <n v="12000"/>
    <x v="8"/>
  </r>
  <r>
    <x v="249"/>
    <x v="1"/>
    <n v="6"/>
    <n v="1500"/>
    <n v="9000"/>
    <x v="8"/>
  </r>
  <r>
    <x v="250"/>
    <x v="1"/>
    <n v="3"/>
    <n v="1500"/>
    <n v="4500"/>
    <x v="8"/>
  </r>
  <r>
    <x v="251"/>
    <x v="0"/>
    <n v="2"/>
    <n v="2000"/>
    <n v="4000"/>
    <x v="8"/>
  </r>
  <r>
    <x v="252"/>
    <x v="2"/>
    <n v="4"/>
    <n v="3000"/>
    <n v="12000"/>
    <x v="8"/>
  </r>
  <r>
    <x v="253"/>
    <x v="3"/>
    <n v="6"/>
    <n v="500"/>
    <n v="3000"/>
    <x v="8"/>
  </r>
  <r>
    <x v="254"/>
    <x v="1"/>
    <n v="3"/>
    <n v="1500"/>
    <n v="4500"/>
    <x v="8"/>
  </r>
  <r>
    <x v="255"/>
    <x v="2"/>
    <n v="6"/>
    <n v="3000"/>
    <n v="18000"/>
    <x v="8"/>
  </r>
  <r>
    <x v="256"/>
    <x v="2"/>
    <n v="6"/>
    <n v="3000"/>
    <n v="18000"/>
    <x v="8"/>
  </r>
  <r>
    <x v="257"/>
    <x v="2"/>
    <n v="3"/>
    <n v="3000"/>
    <n v="9000"/>
    <x v="8"/>
  </r>
  <r>
    <x v="258"/>
    <x v="3"/>
    <n v="2"/>
    <n v="500"/>
    <n v="1000"/>
    <x v="8"/>
  </r>
  <r>
    <x v="259"/>
    <x v="2"/>
    <n v="2"/>
    <n v="3000"/>
    <n v="6000"/>
    <x v="8"/>
  </r>
  <r>
    <x v="260"/>
    <x v="0"/>
    <n v="3"/>
    <n v="2000"/>
    <n v="6000"/>
    <x v="8"/>
  </r>
  <r>
    <x v="261"/>
    <x v="0"/>
    <n v="4"/>
    <n v="2000"/>
    <n v="8000"/>
    <x v="8"/>
  </r>
  <r>
    <x v="262"/>
    <x v="1"/>
    <n v="6"/>
    <n v="1500"/>
    <n v="9000"/>
    <x v="8"/>
  </r>
  <r>
    <x v="263"/>
    <x v="3"/>
    <n v="4"/>
    <n v="500"/>
    <n v="2000"/>
    <x v="8"/>
  </r>
  <r>
    <x v="264"/>
    <x v="2"/>
    <n v="5"/>
    <n v="3000"/>
    <n v="15000"/>
    <x v="8"/>
  </r>
  <r>
    <x v="265"/>
    <x v="2"/>
    <n v="5"/>
    <n v="3000"/>
    <n v="15000"/>
    <x v="8"/>
  </r>
  <r>
    <x v="266"/>
    <x v="2"/>
    <n v="2"/>
    <n v="3000"/>
    <n v="6000"/>
    <x v="8"/>
  </r>
  <r>
    <x v="267"/>
    <x v="1"/>
    <n v="2"/>
    <n v="1500"/>
    <n v="3000"/>
    <x v="8"/>
  </r>
  <r>
    <x v="268"/>
    <x v="0"/>
    <n v="1"/>
    <n v="2000"/>
    <n v="2000"/>
    <x v="8"/>
  </r>
  <r>
    <x v="269"/>
    <x v="0"/>
    <n v="6"/>
    <n v="2000"/>
    <n v="12000"/>
    <x v="8"/>
  </r>
  <r>
    <x v="270"/>
    <x v="3"/>
    <n v="3"/>
    <n v="500"/>
    <n v="1500"/>
    <x v="8"/>
  </r>
  <r>
    <x v="271"/>
    <x v="2"/>
    <n v="3"/>
    <n v="3000"/>
    <n v="9000"/>
    <x v="8"/>
  </r>
  <r>
    <x v="272"/>
    <x v="0"/>
    <n v="6"/>
    <n v="2000"/>
    <n v="12000"/>
    <x v="8"/>
  </r>
  <r>
    <x v="273"/>
    <x v="0"/>
    <n v="4"/>
    <n v="2000"/>
    <n v="8000"/>
    <x v="8"/>
  </r>
  <r>
    <x v="274"/>
    <x v="2"/>
    <n v="3"/>
    <n v="3000"/>
    <n v="9000"/>
    <x v="9"/>
  </r>
  <r>
    <x v="275"/>
    <x v="0"/>
    <n v="2"/>
    <n v="2000"/>
    <n v="4000"/>
    <x v="9"/>
  </r>
  <r>
    <x v="276"/>
    <x v="2"/>
    <n v="6"/>
    <n v="3000"/>
    <n v="18000"/>
    <x v="9"/>
  </r>
  <r>
    <x v="277"/>
    <x v="2"/>
    <n v="1"/>
    <n v="3000"/>
    <n v="3000"/>
    <x v="9"/>
  </r>
  <r>
    <x v="278"/>
    <x v="3"/>
    <n v="3"/>
    <n v="500"/>
    <n v="1500"/>
    <x v="9"/>
  </r>
  <r>
    <x v="279"/>
    <x v="0"/>
    <n v="1"/>
    <n v="2000"/>
    <n v="2000"/>
    <x v="9"/>
  </r>
  <r>
    <x v="280"/>
    <x v="2"/>
    <n v="4"/>
    <n v="3000"/>
    <n v="12000"/>
    <x v="9"/>
  </r>
  <r>
    <x v="281"/>
    <x v="1"/>
    <n v="3"/>
    <n v="1500"/>
    <n v="4500"/>
    <x v="9"/>
  </r>
  <r>
    <x v="282"/>
    <x v="3"/>
    <n v="3"/>
    <n v="500"/>
    <n v="1500"/>
    <x v="9"/>
  </r>
  <r>
    <x v="283"/>
    <x v="3"/>
    <n v="6"/>
    <n v="500"/>
    <n v="3000"/>
    <x v="9"/>
  </r>
  <r>
    <x v="284"/>
    <x v="1"/>
    <n v="3"/>
    <n v="1500"/>
    <n v="4500"/>
    <x v="9"/>
  </r>
  <r>
    <x v="285"/>
    <x v="2"/>
    <n v="5"/>
    <n v="3000"/>
    <n v="15000"/>
    <x v="9"/>
  </r>
  <r>
    <x v="286"/>
    <x v="1"/>
    <n v="1"/>
    <n v="1500"/>
    <n v="1500"/>
    <x v="9"/>
  </r>
  <r>
    <x v="287"/>
    <x v="0"/>
    <n v="5"/>
    <n v="2000"/>
    <n v="10000"/>
    <x v="9"/>
  </r>
  <r>
    <x v="288"/>
    <x v="3"/>
    <n v="1"/>
    <n v="500"/>
    <n v="500"/>
    <x v="9"/>
  </r>
  <r>
    <x v="289"/>
    <x v="3"/>
    <n v="1"/>
    <n v="500"/>
    <n v="500"/>
    <x v="9"/>
  </r>
  <r>
    <x v="290"/>
    <x v="0"/>
    <n v="3"/>
    <n v="2000"/>
    <n v="6000"/>
    <x v="9"/>
  </r>
  <r>
    <x v="291"/>
    <x v="1"/>
    <n v="6"/>
    <n v="1500"/>
    <n v="9000"/>
    <x v="9"/>
  </r>
  <r>
    <x v="292"/>
    <x v="0"/>
    <n v="5"/>
    <n v="2000"/>
    <n v="10000"/>
    <x v="9"/>
  </r>
  <r>
    <x v="293"/>
    <x v="1"/>
    <n v="3"/>
    <n v="1500"/>
    <n v="4500"/>
    <x v="9"/>
  </r>
  <r>
    <x v="294"/>
    <x v="3"/>
    <n v="4"/>
    <n v="500"/>
    <n v="2000"/>
    <x v="9"/>
  </r>
  <r>
    <x v="295"/>
    <x v="2"/>
    <n v="6"/>
    <n v="3000"/>
    <n v="18000"/>
    <x v="9"/>
  </r>
  <r>
    <x v="296"/>
    <x v="0"/>
    <n v="1"/>
    <n v="2000"/>
    <n v="2000"/>
    <x v="9"/>
  </r>
  <r>
    <x v="297"/>
    <x v="2"/>
    <n v="6"/>
    <n v="3000"/>
    <n v="18000"/>
    <x v="9"/>
  </r>
  <r>
    <x v="298"/>
    <x v="0"/>
    <n v="2"/>
    <n v="2000"/>
    <n v="4000"/>
    <x v="9"/>
  </r>
  <r>
    <x v="299"/>
    <x v="0"/>
    <n v="4"/>
    <n v="2000"/>
    <n v="8000"/>
    <x v="9"/>
  </r>
  <r>
    <x v="300"/>
    <x v="0"/>
    <n v="5"/>
    <n v="2000"/>
    <n v="10000"/>
    <x v="9"/>
  </r>
  <r>
    <x v="301"/>
    <x v="1"/>
    <n v="5"/>
    <n v="1500"/>
    <n v="7500"/>
    <x v="9"/>
  </r>
  <r>
    <x v="302"/>
    <x v="3"/>
    <n v="4"/>
    <n v="500"/>
    <n v="2000"/>
    <x v="9"/>
  </r>
  <r>
    <x v="303"/>
    <x v="0"/>
    <n v="6"/>
    <n v="2000"/>
    <n v="12000"/>
    <x v="9"/>
  </r>
  <r>
    <x v="304"/>
    <x v="2"/>
    <n v="1"/>
    <n v="3000"/>
    <n v="3000"/>
    <x v="9"/>
  </r>
  <r>
    <x v="305"/>
    <x v="3"/>
    <n v="5"/>
    <n v="500"/>
    <n v="2500"/>
    <x v="10"/>
  </r>
  <r>
    <x v="306"/>
    <x v="3"/>
    <n v="6"/>
    <n v="500"/>
    <n v="3000"/>
    <x v="10"/>
  </r>
  <r>
    <x v="307"/>
    <x v="1"/>
    <n v="1"/>
    <n v="1500"/>
    <n v="1500"/>
    <x v="10"/>
  </r>
  <r>
    <x v="308"/>
    <x v="2"/>
    <n v="6"/>
    <n v="3000"/>
    <n v="18000"/>
    <x v="10"/>
  </r>
  <r>
    <x v="309"/>
    <x v="2"/>
    <n v="2"/>
    <n v="3000"/>
    <n v="6000"/>
    <x v="10"/>
  </r>
  <r>
    <x v="310"/>
    <x v="2"/>
    <n v="2"/>
    <n v="3000"/>
    <n v="6000"/>
    <x v="10"/>
  </r>
  <r>
    <x v="311"/>
    <x v="1"/>
    <n v="5"/>
    <n v="1500"/>
    <n v="7500"/>
    <x v="10"/>
  </r>
  <r>
    <x v="312"/>
    <x v="1"/>
    <n v="4"/>
    <n v="1500"/>
    <n v="6000"/>
    <x v="10"/>
  </r>
  <r>
    <x v="313"/>
    <x v="1"/>
    <n v="2"/>
    <n v="1500"/>
    <n v="3000"/>
    <x v="10"/>
  </r>
  <r>
    <x v="314"/>
    <x v="2"/>
    <n v="2"/>
    <n v="3000"/>
    <n v="6000"/>
    <x v="10"/>
  </r>
  <r>
    <x v="315"/>
    <x v="0"/>
    <n v="5"/>
    <n v="2000"/>
    <n v="10000"/>
    <x v="10"/>
  </r>
  <r>
    <x v="316"/>
    <x v="3"/>
    <n v="4"/>
    <n v="500"/>
    <n v="2000"/>
    <x v="10"/>
  </r>
  <r>
    <x v="317"/>
    <x v="2"/>
    <n v="6"/>
    <n v="3000"/>
    <n v="18000"/>
    <x v="10"/>
  </r>
  <r>
    <x v="318"/>
    <x v="1"/>
    <n v="3"/>
    <n v="1500"/>
    <n v="4500"/>
    <x v="10"/>
  </r>
  <r>
    <x v="319"/>
    <x v="0"/>
    <n v="4"/>
    <n v="2000"/>
    <n v="8000"/>
    <x v="10"/>
  </r>
  <r>
    <x v="320"/>
    <x v="1"/>
    <n v="5"/>
    <n v="1500"/>
    <n v="7500"/>
    <x v="10"/>
  </r>
  <r>
    <x v="321"/>
    <x v="3"/>
    <n v="1"/>
    <n v="500"/>
    <n v="500"/>
    <x v="10"/>
  </r>
  <r>
    <x v="322"/>
    <x v="2"/>
    <n v="6"/>
    <n v="3000"/>
    <n v="18000"/>
    <x v="10"/>
  </r>
  <r>
    <x v="323"/>
    <x v="2"/>
    <n v="6"/>
    <n v="3000"/>
    <n v="18000"/>
    <x v="10"/>
  </r>
  <r>
    <x v="324"/>
    <x v="3"/>
    <n v="3"/>
    <n v="500"/>
    <n v="1500"/>
    <x v="10"/>
  </r>
  <r>
    <x v="325"/>
    <x v="0"/>
    <n v="3"/>
    <n v="2000"/>
    <n v="6000"/>
    <x v="10"/>
  </r>
  <r>
    <x v="326"/>
    <x v="3"/>
    <n v="2"/>
    <n v="500"/>
    <n v="1000"/>
    <x v="10"/>
  </r>
  <r>
    <x v="327"/>
    <x v="0"/>
    <n v="6"/>
    <n v="2000"/>
    <n v="12000"/>
    <x v="10"/>
  </r>
  <r>
    <x v="328"/>
    <x v="3"/>
    <n v="6"/>
    <n v="500"/>
    <n v="3000"/>
    <x v="10"/>
  </r>
  <r>
    <x v="329"/>
    <x v="2"/>
    <n v="5"/>
    <n v="3000"/>
    <n v="15000"/>
    <x v="10"/>
  </r>
  <r>
    <x v="330"/>
    <x v="1"/>
    <n v="3"/>
    <n v="1500"/>
    <n v="4500"/>
    <x v="10"/>
  </r>
  <r>
    <x v="331"/>
    <x v="3"/>
    <n v="6"/>
    <n v="500"/>
    <n v="3000"/>
    <x v="10"/>
  </r>
  <r>
    <x v="332"/>
    <x v="3"/>
    <n v="4"/>
    <n v="500"/>
    <n v="2000"/>
    <x v="10"/>
  </r>
  <r>
    <x v="333"/>
    <x v="2"/>
    <n v="2"/>
    <n v="3000"/>
    <n v="6000"/>
    <x v="10"/>
  </r>
  <r>
    <x v="334"/>
    <x v="3"/>
    <n v="3"/>
    <n v="500"/>
    <n v="1500"/>
    <x v="10"/>
  </r>
  <r>
    <x v="335"/>
    <x v="0"/>
    <n v="3"/>
    <n v="2000"/>
    <n v="6000"/>
    <x v="11"/>
  </r>
  <r>
    <x v="336"/>
    <x v="0"/>
    <n v="1"/>
    <n v="2000"/>
    <n v="2000"/>
    <x v="11"/>
  </r>
  <r>
    <x v="337"/>
    <x v="2"/>
    <n v="5"/>
    <n v="3000"/>
    <n v="15000"/>
    <x v="11"/>
  </r>
  <r>
    <x v="338"/>
    <x v="1"/>
    <n v="6"/>
    <n v="1500"/>
    <n v="9000"/>
    <x v="11"/>
  </r>
  <r>
    <x v="339"/>
    <x v="2"/>
    <n v="6"/>
    <n v="3000"/>
    <n v="18000"/>
    <x v="11"/>
  </r>
  <r>
    <x v="340"/>
    <x v="2"/>
    <n v="1"/>
    <n v="3000"/>
    <n v="3000"/>
    <x v="11"/>
  </r>
  <r>
    <x v="341"/>
    <x v="1"/>
    <n v="6"/>
    <n v="1500"/>
    <n v="9000"/>
    <x v="11"/>
  </r>
  <r>
    <x v="342"/>
    <x v="2"/>
    <n v="1"/>
    <n v="3000"/>
    <n v="3000"/>
    <x v="11"/>
  </r>
  <r>
    <x v="343"/>
    <x v="1"/>
    <n v="1"/>
    <n v="1500"/>
    <n v="1500"/>
    <x v="11"/>
  </r>
  <r>
    <x v="344"/>
    <x v="1"/>
    <n v="6"/>
    <n v="1500"/>
    <n v="9000"/>
    <x v="11"/>
  </r>
  <r>
    <x v="345"/>
    <x v="1"/>
    <n v="6"/>
    <n v="1500"/>
    <n v="9000"/>
    <x v="11"/>
  </r>
  <r>
    <x v="346"/>
    <x v="2"/>
    <n v="1"/>
    <n v="3000"/>
    <n v="3000"/>
    <x v="11"/>
  </r>
  <r>
    <x v="347"/>
    <x v="1"/>
    <n v="6"/>
    <n v="1500"/>
    <n v="9000"/>
    <x v="11"/>
  </r>
  <r>
    <x v="348"/>
    <x v="1"/>
    <n v="1"/>
    <n v="1500"/>
    <n v="1500"/>
    <x v="11"/>
  </r>
  <r>
    <x v="349"/>
    <x v="3"/>
    <n v="3"/>
    <n v="500"/>
    <n v="1500"/>
    <x v="11"/>
  </r>
  <r>
    <x v="350"/>
    <x v="2"/>
    <n v="3"/>
    <n v="3000"/>
    <n v="9000"/>
    <x v="11"/>
  </r>
  <r>
    <x v="351"/>
    <x v="0"/>
    <n v="3"/>
    <n v="2000"/>
    <n v="6000"/>
    <x v="11"/>
  </r>
  <r>
    <x v="352"/>
    <x v="0"/>
    <n v="6"/>
    <n v="2000"/>
    <n v="12000"/>
    <x v="11"/>
  </r>
  <r>
    <x v="353"/>
    <x v="1"/>
    <n v="5"/>
    <n v="1500"/>
    <n v="7500"/>
    <x v="11"/>
  </r>
  <r>
    <x v="354"/>
    <x v="0"/>
    <n v="6"/>
    <n v="2000"/>
    <n v="12000"/>
    <x v="11"/>
  </r>
  <r>
    <x v="355"/>
    <x v="2"/>
    <n v="6"/>
    <n v="3000"/>
    <n v="18000"/>
    <x v="11"/>
  </r>
  <r>
    <x v="356"/>
    <x v="3"/>
    <n v="2"/>
    <n v="500"/>
    <n v="1000"/>
    <x v="11"/>
  </r>
  <r>
    <x v="357"/>
    <x v="3"/>
    <n v="6"/>
    <n v="500"/>
    <n v="3000"/>
    <x v="11"/>
  </r>
  <r>
    <x v="358"/>
    <x v="0"/>
    <n v="4"/>
    <n v="2000"/>
    <n v="8000"/>
    <x v="11"/>
  </r>
  <r>
    <x v="359"/>
    <x v="0"/>
    <n v="2"/>
    <n v="2000"/>
    <n v="4000"/>
    <x v="11"/>
  </r>
  <r>
    <x v="360"/>
    <x v="0"/>
    <n v="3"/>
    <n v="2000"/>
    <n v="6000"/>
    <x v="11"/>
  </r>
  <r>
    <x v="361"/>
    <x v="1"/>
    <n v="1"/>
    <n v="1500"/>
    <n v="1500"/>
    <x v="11"/>
  </r>
  <r>
    <x v="362"/>
    <x v="3"/>
    <n v="1"/>
    <n v="500"/>
    <n v="500"/>
    <x v="11"/>
  </r>
  <r>
    <x v="363"/>
    <x v="0"/>
    <n v="4"/>
    <n v="2000"/>
    <n v="8000"/>
    <x v="11"/>
  </r>
  <r>
    <x v="364"/>
    <x v="0"/>
    <n v="2"/>
    <n v="2000"/>
    <n v="4000"/>
    <x v="11"/>
  </r>
  <r>
    <x v="365"/>
    <x v="3"/>
    <n v="1"/>
    <n v="500"/>
    <n v="50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D12A2D-0B90-4FFD-94AE-5DA3FE4F3E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3:E8" firstHeaderRow="1" firstDataRow="1" firstDataCol="1"/>
  <pivotFields count="8">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h="1" sd="0" x="5"/>
        <item h="1" sd="0" x="6"/>
        <item h="1" sd="0" x="7"/>
        <item h="1" sd="0" x="8"/>
        <item h="1" sd="0" x="9"/>
        <item h="1" sd="0" x="10"/>
        <item h="1" sd="0" x="11"/>
        <item h="1" sd="0" x="12"/>
        <item h="1" sd="0" x="13"/>
        <item t="default"/>
      </items>
    </pivotField>
  </pivotFields>
  <rowFields count="3">
    <field x="7"/>
    <field x="6"/>
    <field x="0"/>
  </rowFields>
  <rowItems count="5">
    <i>
      <x v="1"/>
    </i>
    <i>
      <x v="2"/>
    </i>
    <i>
      <x v="3"/>
    </i>
    <i>
      <x v="4"/>
    </i>
    <i t="grand">
      <x/>
    </i>
  </rowItems>
  <colItems count="1">
    <i/>
  </colItems>
  <dataFields count="1">
    <dataField name="Sum of Revenue" fld="4"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96B8E5-F4B5-45B5-93CC-9EA066EFD7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5" firstHeaderRow="1" firstDataRow="1" firstDataCol="1"/>
  <pivotFields count="8">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h="1" sd="0" x="5"/>
        <item h="1" sd="0" x="6"/>
        <item h="1" sd="0" x="7"/>
        <item h="1" sd="0" x="8"/>
        <item h="1" sd="0" x="9"/>
        <item h="1" sd="0" x="10"/>
        <item h="1" sd="0" x="11"/>
        <item h="1" sd="0" x="12"/>
        <item h="1" sd="0" x="13"/>
        <item t="default"/>
      </items>
    </pivotField>
  </pivotFields>
  <rowFields count="1">
    <field x="1"/>
  </rowFields>
  <rowItems count="5">
    <i>
      <x/>
    </i>
    <i>
      <x v="2"/>
    </i>
    <i>
      <x v="1"/>
    </i>
    <i>
      <x v="3"/>
    </i>
    <i t="grand">
      <x/>
    </i>
  </rowItems>
  <colItems count="1">
    <i/>
  </colItems>
  <dataFields count="1">
    <dataField name="Sum of Revenue"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A405272-BF14-4B4D-A2FC-AA6C7954790B}" sourceName="Months (Date )">
  <pivotTables>
    <pivotTable tabId="2" name="PivotTable3"/>
    <pivotTable tabId="2" name="PivotTable4"/>
  </pivotTables>
  <data>
    <tabular pivotCacheId="106910592">
      <items count="14">
        <i x="1" s="1"/>
        <i x="2" s="1"/>
        <i x="3" s="1"/>
        <i x="4" s="1"/>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 xr10:uid="{5D4F77BF-DC93-41AC-877C-A7DE7C763621}" cache="Slicer_Months__Date" caption="Months (Date )" columnCoun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49D1-32C8-4365-84F3-7C586D740A81}">
  <dimension ref="A1:F367"/>
  <sheetViews>
    <sheetView workbookViewId="0">
      <selection activeCell="J360" sqref="J360"/>
    </sheetView>
  </sheetViews>
  <sheetFormatPr defaultRowHeight="14.4" x14ac:dyDescent="0.3"/>
  <cols>
    <col min="1" max="1" width="12.77734375" style="1" customWidth="1"/>
    <col min="2" max="2" width="10.109375" customWidth="1"/>
  </cols>
  <sheetData>
    <row r="1" spans="1:6" x14ac:dyDescent="0.3">
      <c r="A1" s="8" t="s">
        <v>7</v>
      </c>
      <c r="B1" s="8" t="s">
        <v>0</v>
      </c>
      <c r="C1" s="8" t="s">
        <v>8</v>
      </c>
      <c r="D1" s="8" t="s">
        <v>1</v>
      </c>
      <c r="E1" s="8" t="s">
        <v>9</v>
      </c>
      <c r="F1" s="8" t="s">
        <v>10</v>
      </c>
    </row>
    <row r="2" spans="1:6" x14ac:dyDescent="0.3">
      <c r="A2" s="9">
        <v>45292</v>
      </c>
      <c r="B2" s="10" t="s">
        <v>4</v>
      </c>
      <c r="C2" s="10">
        <v>4</v>
      </c>
      <c r="D2" s="10">
        <v>2000</v>
      </c>
      <c r="E2" s="10">
        <v>8000</v>
      </c>
      <c r="F2" s="10" t="s">
        <v>16</v>
      </c>
    </row>
    <row r="3" spans="1:6" x14ac:dyDescent="0.3">
      <c r="A3" s="9">
        <v>45293</v>
      </c>
      <c r="B3" s="10" t="s">
        <v>2</v>
      </c>
      <c r="C3" s="10">
        <v>2</v>
      </c>
      <c r="D3" s="10">
        <v>1500</v>
      </c>
      <c r="E3" s="10">
        <v>3000</v>
      </c>
      <c r="F3" s="10" t="s">
        <v>16</v>
      </c>
    </row>
    <row r="4" spans="1:6" x14ac:dyDescent="0.3">
      <c r="A4" s="9">
        <v>45294</v>
      </c>
      <c r="B4" s="10" t="s">
        <v>2</v>
      </c>
      <c r="C4" s="10">
        <v>6</v>
      </c>
      <c r="D4" s="10">
        <v>1500</v>
      </c>
      <c r="E4" s="10">
        <v>9000</v>
      </c>
      <c r="F4" s="10" t="s">
        <v>16</v>
      </c>
    </row>
    <row r="5" spans="1:6" x14ac:dyDescent="0.3">
      <c r="A5" s="9">
        <v>45295</v>
      </c>
      <c r="B5" s="10" t="s">
        <v>5</v>
      </c>
      <c r="C5" s="10">
        <v>2</v>
      </c>
      <c r="D5" s="10">
        <v>3000</v>
      </c>
      <c r="E5" s="10">
        <v>6000</v>
      </c>
      <c r="F5" s="10" t="s">
        <v>16</v>
      </c>
    </row>
    <row r="6" spans="1:6" x14ac:dyDescent="0.3">
      <c r="A6" s="9">
        <v>45296</v>
      </c>
      <c r="B6" s="10" t="s">
        <v>2</v>
      </c>
      <c r="C6" s="10">
        <v>1</v>
      </c>
      <c r="D6" s="10">
        <v>1500</v>
      </c>
      <c r="E6" s="10">
        <v>1500</v>
      </c>
      <c r="F6" s="10" t="s">
        <v>16</v>
      </c>
    </row>
    <row r="7" spans="1:6" x14ac:dyDescent="0.3">
      <c r="A7" s="9">
        <v>45297</v>
      </c>
      <c r="B7" s="10" t="s">
        <v>2</v>
      </c>
      <c r="C7" s="10">
        <v>2</v>
      </c>
      <c r="D7" s="10">
        <v>1500</v>
      </c>
      <c r="E7" s="10">
        <v>3000</v>
      </c>
      <c r="F7" s="10" t="s">
        <v>16</v>
      </c>
    </row>
    <row r="8" spans="1:6" x14ac:dyDescent="0.3">
      <c r="A8" s="9">
        <v>45298</v>
      </c>
      <c r="B8" s="10" t="s">
        <v>5</v>
      </c>
      <c r="C8" s="10">
        <v>4</v>
      </c>
      <c r="D8" s="10">
        <v>3000</v>
      </c>
      <c r="E8" s="10">
        <v>12000</v>
      </c>
      <c r="F8" s="10" t="s">
        <v>16</v>
      </c>
    </row>
    <row r="9" spans="1:6" x14ac:dyDescent="0.3">
      <c r="A9" s="9">
        <v>45299</v>
      </c>
      <c r="B9" s="10" t="s">
        <v>2</v>
      </c>
      <c r="C9" s="10">
        <v>3</v>
      </c>
      <c r="D9" s="10">
        <v>1500</v>
      </c>
      <c r="E9" s="10">
        <v>4500</v>
      </c>
      <c r="F9" s="10" t="s">
        <v>16</v>
      </c>
    </row>
    <row r="10" spans="1:6" x14ac:dyDescent="0.3">
      <c r="A10" s="9">
        <v>45300</v>
      </c>
      <c r="B10" s="10" t="s">
        <v>3</v>
      </c>
      <c r="C10" s="10">
        <v>3</v>
      </c>
      <c r="D10" s="10">
        <v>500</v>
      </c>
      <c r="E10" s="10">
        <v>1500</v>
      </c>
      <c r="F10" s="10" t="s">
        <v>16</v>
      </c>
    </row>
    <row r="11" spans="1:6" x14ac:dyDescent="0.3">
      <c r="A11" s="9">
        <v>45301</v>
      </c>
      <c r="B11" s="10" t="s">
        <v>2</v>
      </c>
      <c r="C11" s="10">
        <v>4</v>
      </c>
      <c r="D11" s="10">
        <v>1500</v>
      </c>
      <c r="E11" s="10">
        <v>6000</v>
      </c>
      <c r="F11" s="10" t="s">
        <v>16</v>
      </c>
    </row>
    <row r="12" spans="1:6" x14ac:dyDescent="0.3">
      <c r="A12" s="9">
        <v>45302</v>
      </c>
      <c r="B12" s="10" t="s">
        <v>2</v>
      </c>
      <c r="C12" s="10">
        <v>3</v>
      </c>
      <c r="D12" s="10">
        <v>1500</v>
      </c>
      <c r="E12" s="10">
        <v>4500</v>
      </c>
      <c r="F12" s="10" t="s">
        <v>16</v>
      </c>
    </row>
    <row r="13" spans="1:6" x14ac:dyDescent="0.3">
      <c r="A13" s="9">
        <v>45303</v>
      </c>
      <c r="B13" s="10" t="s">
        <v>4</v>
      </c>
      <c r="C13" s="10">
        <v>6</v>
      </c>
      <c r="D13" s="10">
        <v>2000</v>
      </c>
      <c r="E13" s="10">
        <v>12000</v>
      </c>
      <c r="F13" s="10" t="s">
        <v>16</v>
      </c>
    </row>
    <row r="14" spans="1:6" x14ac:dyDescent="0.3">
      <c r="A14" s="9">
        <v>45304</v>
      </c>
      <c r="B14" s="10" t="s">
        <v>3</v>
      </c>
      <c r="C14" s="10">
        <v>4</v>
      </c>
      <c r="D14" s="10">
        <v>500</v>
      </c>
      <c r="E14" s="10">
        <v>2000</v>
      </c>
      <c r="F14" s="10" t="s">
        <v>16</v>
      </c>
    </row>
    <row r="15" spans="1:6" x14ac:dyDescent="0.3">
      <c r="A15" s="9">
        <v>45305</v>
      </c>
      <c r="B15" s="10" t="s">
        <v>5</v>
      </c>
      <c r="C15" s="10">
        <v>3</v>
      </c>
      <c r="D15" s="10">
        <v>3000</v>
      </c>
      <c r="E15" s="10">
        <v>9000</v>
      </c>
      <c r="F15" s="10" t="s">
        <v>16</v>
      </c>
    </row>
    <row r="16" spans="1:6" x14ac:dyDescent="0.3">
      <c r="A16" s="9">
        <v>45306</v>
      </c>
      <c r="B16" s="10" t="s">
        <v>5</v>
      </c>
      <c r="C16" s="10">
        <v>2</v>
      </c>
      <c r="D16" s="10">
        <v>3000</v>
      </c>
      <c r="E16" s="10">
        <v>6000</v>
      </c>
      <c r="F16" s="10" t="s">
        <v>16</v>
      </c>
    </row>
    <row r="17" spans="1:6" x14ac:dyDescent="0.3">
      <c r="A17" s="9">
        <v>45307</v>
      </c>
      <c r="B17" s="10" t="s">
        <v>2</v>
      </c>
      <c r="C17" s="10">
        <v>3</v>
      </c>
      <c r="D17" s="10">
        <v>1500</v>
      </c>
      <c r="E17" s="10">
        <v>4500</v>
      </c>
      <c r="F17" s="10" t="s">
        <v>16</v>
      </c>
    </row>
    <row r="18" spans="1:6" x14ac:dyDescent="0.3">
      <c r="A18" s="9">
        <v>45308</v>
      </c>
      <c r="B18" s="10" t="s">
        <v>4</v>
      </c>
      <c r="C18" s="10">
        <v>4</v>
      </c>
      <c r="D18" s="10">
        <v>2000</v>
      </c>
      <c r="E18" s="10">
        <v>8000</v>
      </c>
      <c r="F18" s="10" t="s">
        <v>16</v>
      </c>
    </row>
    <row r="19" spans="1:6" x14ac:dyDescent="0.3">
      <c r="A19" s="9">
        <v>45309</v>
      </c>
      <c r="B19" s="10" t="s">
        <v>5</v>
      </c>
      <c r="C19" s="10">
        <v>2</v>
      </c>
      <c r="D19" s="10">
        <v>3000</v>
      </c>
      <c r="E19" s="10">
        <v>6000</v>
      </c>
      <c r="F19" s="10" t="s">
        <v>16</v>
      </c>
    </row>
    <row r="20" spans="1:6" x14ac:dyDescent="0.3">
      <c r="A20" s="9">
        <v>45310</v>
      </c>
      <c r="B20" s="10" t="s">
        <v>3</v>
      </c>
      <c r="C20" s="10">
        <v>1</v>
      </c>
      <c r="D20" s="10">
        <v>500</v>
      </c>
      <c r="E20" s="10">
        <v>500</v>
      </c>
      <c r="F20" s="10" t="s">
        <v>16</v>
      </c>
    </row>
    <row r="21" spans="1:6" x14ac:dyDescent="0.3">
      <c r="A21" s="9">
        <v>45311</v>
      </c>
      <c r="B21" s="10" t="s">
        <v>2</v>
      </c>
      <c r="C21" s="10">
        <v>5</v>
      </c>
      <c r="D21" s="10">
        <v>1500</v>
      </c>
      <c r="E21" s="10">
        <v>7500</v>
      </c>
      <c r="F21" s="10" t="s">
        <v>16</v>
      </c>
    </row>
    <row r="22" spans="1:6" x14ac:dyDescent="0.3">
      <c r="A22" s="9">
        <v>45312</v>
      </c>
      <c r="B22" s="10" t="s">
        <v>5</v>
      </c>
      <c r="C22" s="10">
        <v>5</v>
      </c>
      <c r="D22" s="10">
        <v>3000</v>
      </c>
      <c r="E22" s="10">
        <v>15000</v>
      </c>
      <c r="F22" s="10" t="s">
        <v>16</v>
      </c>
    </row>
    <row r="23" spans="1:6" x14ac:dyDescent="0.3">
      <c r="A23" s="9">
        <v>45313</v>
      </c>
      <c r="B23" s="10" t="s">
        <v>2</v>
      </c>
      <c r="C23" s="10">
        <v>3</v>
      </c>
      <c r="D23" s="10">
        <v>1500</v>
      </c>
      <c r="E23" s="10">
        <v>4500</v>
      </c>
      <c r="F23" s="10" t="s">
        <v>16</v>
      </c>
    </row>
    <row r="24" spans="1:6" x14ac:dyDescent="0.3">
      <c r="A24" s="9">
        <v>45314</v>
      </c>
      <c r="B24" s="10" t="s">
        <v>5</v>
      </c>
      <c r="C24" s="10">
        <v>6</v>
      </c>
      <c r="D24" s="10">
        <v>3000</v>
      </c>
      <c r="E24" s="10">
        <v>18000</v>
      </c>
      <c r="F24" s="10" t="s">
        <v>16</v>
      </c>
    </row>
    <row r="25" spans="1:6" x14ac:dyDescent="0.3">
      <c r="A25" s="9">
        <v>45315</v>
      </c>
      <c r="B25" s="10" t="s">
        <v>2</v>
      </c>
      <c r="C25" s="10">
        <v>6</v>
      </c>
      <c r="D25" s="10">
        <v>1500</v>
      </c>
      <c r="E25" s="10">
        <v>9000</v>
      </c>
      <c r="F25" s="10" t="s">
        <v>16</v>
      </c>
    </row>
    <row r="26" spans="1:6" x14ac:dyDescent="0.3">
      <c r="A26" s="9">
        <v>45316</v>
      </c>
      <c r="B26" s="10" t="s">
        <v>3</v>
      </c>
      <c r="C26" s="10">
        <v>6</v>
      </c>
      <c r="D26" s="10">
        <v>500</v>
      </c>
      <c r="E26" s="10">
        <v>3000</v>
      </c>
      <c r="F26" s="10" t="s">
        <v>16</v>
      </c>
    </row>
    <row r="27" spans="1:6" x14ac:dyDescent="0.3">
      <c r="A27" s="9">
        <v>45317</v>
      </c>
      <c r="B27" s="10" t="s">
        <v>4</v>
      </c>
      <c r="C27" s="10">
        <v>6</v>
      </c>
      <c r="D27" s="10">
        <v>2000</v>
      </c>
      <c r="E27" s="10">
        <v>12000</v>
      </c>
      <c r="F27" s="10" t="s">
        <v>16</v>
      </c>
    </row>
    <row r="28" spans="1:6" x14ac:dyDescent="0.3">
      <c r="A28" s="9">
        <v>45318</v>
      </c>
      <c r="B28" s="10" t="s">
        <v>2</v>
      </c>
      <c r="C28" s="10">
        <v>6</v>
      </c>
      <c r="D28" s="10">
        <v>1500</v>
      </c>
      <c r="E28" s="10">
        <v>9000</v>
      </c>
      <c r="F28" s="10" t="s">
        <v>16</v>
      </c>
    </row>
    <row r="29" spans="1:6" x14ac:dyDescent="0.3">
      <c r="A29" s="9">
        <v>45319</v>
      </c>
      <c r="B29" s="10" t="s">
        <v>2</v>
      </c>
      <c r="C29" s="10">
        <v>5</v>
      </c>
      <c r="D29" s="10">
        <v>1500</v>
      </c>
      <c r="E29" s="10">
        <v>7500</v>
      </c>
      <c r="F29" s="10" t="s">
        <v>16</v>
      </c>
    </row>
    <row r="30" spans="1:6" x14ac:dyDescent="0.3">
      <c r="A30" s="9">
        <v>45320</v>
      </c>
      <c r="B30" s="10" t="s">
        <v>4</v>
      </c>
      <c r="C30" s="10">
        <v>3</v>
      </c>
      <c r="D30" s="10">
        <v>2000</v>
      </c>
      <c r="E30" s="10">
        <v>6000</v>
      </c>
      <c r="F30" s="10" t="s">
        <v>16</v>
      </c>
    </row>
    <row r="31" spans="1:6" x14ac:dyDescent="0.3">
      <c r="A31" s="9">
        <v>45321</v>
      </c>
      <c r="B31" s="10" t="s">
        <v>4</v>
      </c>
      <c r="C31" s="10">
        <v>6</v>
      </c>
      <c r="D31" s="10">
        <v>2000</v>
      </c>
      <c r="E31" s="10">
        <v>12000</v>
      </c>
      <c r="F31" s="10" t="s">
        <v>16</v>
      </c>
    </row>
    <row r="32" spans="1:6" x14ac:dyDescent="0.3">
      <c r="A32" s="9">
        <v>45322</v>
      </c>
      <c r="B32" s="10" t="s">
        <v>2</v>
      </c>
      <c r="C32" s="10">
        <v>2</v>
      </c>
      <c r="D32" s="10">
        <v>1500</v>
      </c>
      <c r="E32" s="10">
        <v>3000</v>
      </c>
      <c r="F32" s="10" t="s">
        <v>16</v>
      </c>
    </row>
    <row r="33" spans="1:6" x14ac:dyDescent="0.3">
      <c r="A33" s="9">
        <v>45323</v>
      </c>
      <c r="B33" s="10" t="s">
        <v>4</v>
      </c>
      <c r="C33" s="10">
        <v>1</v>
      </c>
      <c r="D33" s="10">
        <v>2000</v>
      </c>
      <c r="E33" s="10">
        <v>2000</v>
      </c>
      <c r="F33" s="10" t="s">
        <v>17</v>
      </c>
    </row>
    <row r="34" spans="1:6" x14ac:dyDescent="0.3">
      <c r="A34" s="9">
        <v>45324</v>
      </c>
      <c r="B34" s="10" t="s">
        <v>4</v>
      </c>
      <c r="C34" s="10">
        <v>4</v>
      </c>
      <c r="D34" s="10">
        <v>2000</v>
      </c>
      <c r="E34" s="10">
        <v>8000</v>
      </c>
      <c r="F34" s="10" t="s">
        <v>17</v>
      </c>
    </row>
    <row r="35" spans="1:6" x14ac:dyDescent="0.3">
      <c r="A35" s="9">
        <v>45325</v>
      </c>
      <c r="B35" s="10" t="s">
        <v>4</v>
      </c>
      <c r="C35" s="10">
        <v>4</v>
      </c>
      <c r="D35" s="10">
        <v>2000</v>
      </c>
      <c r="E35" s="10">
        <v>8000</v>
      </c>
      <c r="F35" s="10" t="s">
        <v>17</v>
      </c>
    </row>
    <row r="36" spans="1:6" x14ac:dyDescent="0.3">
      <c r="A36" s="9">
        <v>45326</v>
      </c>
      <c r="B36" s="10" t="s">
        <v>4</v>
      </c>
      <c r="C36" s="10">
        <v>2</v>
      </c>
      <c r="D36" s="10">
        <v>2000</v>
      </c>
      <c r="E36" s="10">
        <v>4000</v>
      </c>
      <c r="F36" s="10" t="s">
        <v>17</v>
      </c>
    </row>
    <row r="37" spans="1:6" x14ac:dyDescent="0.3">
      <c r="A37" s="9">
        <v>45327</v>
      </c>
      <c r="B37" s="10" t="s">
        <v>2</v>
      </c>
      <c r="C37" s="10">
        <v>6</v>
      </c>
      <c r="D37" s="10">
        <v>1500</v>
      </c>
      <c r="E37" s="10">
        <v>9000</v>
      </c>
      <c r="F37" s="10" t="s">
        <v>17</v>
      </c>
    </row>
    <row r="38" spans="1:6" x14ac:dyDescent="0.3">
      <c r="A38" s="9">
        <v>45328</v>
      </c>
      <c r="B38" s="10" t="s">
        <v>3</v>
      </c>
      <c r="C38" s="10">
        <v>3</v>
      </c>
      <c r="D38" s="10">
        <v>500</v>
      </c>
      <c r="E38" s="10">
        <v>1500</v>
      </c>
      <c r="F38" s="10" t="s">
        <v>17</v>
      </c>
    </row>
    <row r="39" spans="1:6" x14ac:dyDescent="0.3">
      <c r="A39" s="9">
        <v>45329</v>
      </c>
      <c r="B39" s="10" t="s">
        <v>2</v>
      </c>
      <c r="C39" s="10">
        <v>3</v>
      </c>
      <c r="D39" s="10">
        <v>1500</v>
      </c>
      <c r="E39" s="10">
        <v>4500</v>
      </c>
      <c r="F39" s="10" t="s">
        <v>17</v>
      </c>
    </row>
    <row r="40" spans="1:6" x14ac:dyDescent="0.3">
      <c r="A40" s="9">
        <v>45330</v>
      </c>
      <c r="B40" s="10" t="s">
        <v>5</v>
      </c>
      <c r="C40" s="10">
        <v>3</v>
      </c>
      <c r="D40" s="10">
        <v>3000</v>
      </c>
      <c r="E40" s="10">
        <v>9000</v>
      </c>
      <c r="F40" s="10" t="s">
        <v>17</v>
      </c>
    </row>
    <row r="41" spans="1:6" x14ac:dyDescent="0.3">
      <c r="A41" s="9">
        <v>45331</v>
      </c>
      <c r="B41" s="10" t="s">
        <v>3</v>
      </c>
      <c r="C41" s="10">
        <v>1</v>
      </c>
      <c r="D41" s="10">
        <v>500</v>
      </c>
      <c r="E41" s="10">
        <v>500</v>
      </c>
      <c r="F41" s="10" t="s">
        <v>17</v>
      </c>
    </row>
    <row r="42" spans="1:6" x14ac:dyDescent="0.3">
      <c r="A42" s="9">
        <v>45332</v>
      </c>
      <c r="B42" s="10" t="s">
        <v>5</v>
      </c>
      <c r="C42" s="10">
        <v>5</v>
      </c>
      <c r="D42" s="10">
        <v>3000</v>
      </c>
      <c r="E42" s="10">
        <v>15000</v>
      </c>
      <c r="F42" s="10" t="s">
        <v>17</v>
      </c>
    </row>
    <row r="43" spans="1:6" x14ac:dyDescent="0.3">
      <c r="A43" s="9">
        <v>45333</v>
      </c>
      <c r="B43" s="10" t="s">
        <v>4</v>
      </c>
      <c r="C43" s="10">
        <v>2</v>
      </c>
      <c r="D43" s="10">
        <v>2000</v>
      </c>
      <c r="E43" s="10">
        <v>4000</v>
      </c>
      <c r="F43" s="10" t="s">
        <v>17</v>
      </c>
    </row>
    <row r="44" spans="1:6" x14ac:dyDescent="0.3">
      <c r="A44" s="9">
        <v>45334</v>
      </c>
      <c r="B44" s="10" t="s">
        <v>5</v>
      </c>
      <c r="C44" s="10">
        <v>6</v>
      </c>
      <c r="D44" s="10">
        <v>3000</v>
      </c>
      <c r="E44" s="10">
        <v>18000</v>
      </c>
      <c r="F44" s="10" t="s">
        <v>17</v>
      </c>
    </row>
    <row r="45" spans="1:6" x14ac:dyDescent="0.3">
      <c r="A45" s="9">
        <v>45335</v>
      </c>
      <c r="B45" s="10" t="s">
        <v>2</v>
      </c>
      <c r="C45" s="10">
        <v>4</v>
      </c>
      <c r="D45" s="10">
        <v>1500</v>
      </c>
      <c r="E45" s="10">
        <v>6000</v>
      </c>
      <c r="F45" s="10" t="s">
        <v>17</v>
      </c>
    </row>
    <row r="46" spans="1:6" x14ac:dyDescent="0.3">
      <c r="A46" s="9">
        <v>45336</v>
      </c>
      <c r="B46" s="10" t="s">
        <v>2</v>
      </c>
      <c r="C46" s="10">
        <v>1</v>
      </c>
      <c r="D46" s="10">
        <v>1500</v>
      </c>
      <c r="E46" s="10">
        <v>1500</v>
      </c>
      <c r="F46" s="10" t="s">
        <v>17</v>
      </c>
    </row>
    <row r="47" spans="1:6" x14ac:dyDescent="0.3">
      <c r="A47" s="9">
        <v>45337</v>
      </c>
      <c r="B47" s="10" t="s">
        <v>3</v>
      </c>
      <c r="C47" s="10">
        <v>4</v>
      </c>
      <c r="D47" s="10">
        <v>500</v>
      </c>
      <c r="E47" s="10">
        <v>2000</v>
      </c>
      <c r="F47" s="10" t="s">
        <v>17</v>
      </c>
    </row>
    <row r="48" spans="1:6" x14ac:dyDescent="0.3">
      <c r="A48" s="9">
        <v>45338</v>
      </c>
      <c r="B48" s="10" t="s">
        <v>3</v>
      </c>
      <c r="C48" s="10">
        <v>5</v>
      </c>
      <c r="D48" s="10">
        <v>500</v>
      </c>
      <c r="E48" s="10">
        <v>2500</v>
      </c>
      <c r="F48" s="10" t="s">
        <v>17</v>
      </c>
    </row>
    <row r="49" spans="1:6" x14ac:dyDescent="0.3">
      <c r="A49" s="9">
        <v>45339</v>
      </c>
      <c r="B49" s="10" t="s">
        <v>4</v>
      </c>
      <c r="C49" s="10">
        <v>3</v>
      </c>
      <c r="D49" s="10">
        <v>2000</v>
      </c>
      <c r="E49" s="10">
        <v>6000</v>
      </c>
      <c r="F49" s="10" t="s">
        <v>17</v>
      </c>
    </row>
    <row r="50" spans="1:6" x14ac:dyDescent="0.3">
      <c r="A50" s="9">
        <v>45340</v>
      </c>
      <c r="B50" s="10" t="s">
        <v>2</v>
      </c>
      <c r="C50" s="10">
        <v>3</v>
      </c>
      <c r="D50" s="10">
        <v>1500</v>
      </c>
      <c r="E50" s="10">
        <v>4500</v>
      </c>
      <c r="F50" s="10" t="s">
        <v>17</v>
      </c>
    </row>
    <row r="51" spans="1:6" x14ac:dyDescent="0.3">
      <c r="A51" s="9">
        <v>45341</v>
      </c>
      <c r="B51" s="10" t="s">
        <v>3</v>
      </c>
      <c r="C51" s="10">
        <v>4</v>
      </c>
      <c r="D51" s="10">
        <v>500</v>
      </c>
      <c r="E51" s="10">
        <v>2000</v>
      </c>
      <c r="F51" s="10" t="s">
        <v>17</v>
      </c>
    </row>
    <row r="52" spans="1:6" x14ac:dyDescent="0.3">
      <c r="A52" s="9">
        <v>45342</v>
      </c>
      <c r="B52" s="10" t="s">
        <v>5</v>
      </c>
      <c r="C52" s="10">
        <v>2</v>
      </c>
      <c r="D52" s="10">
        <v>3000</v>
      </c>
      <c r="E52" s="10">
        <v>6000</v>
      </c>
      <c r="F52" s="10" t="s">
        <v>17</v>
      </c>
    </row>
    <row r="53" spans="1:6" x14ac:dyDescent="0.3">
      <c r="A53" s="9">
        <v>45343</v>
      </c>
      <c r="B53" s="10" t="s">
        <v>2</v>
      </c>
      <c r="C53" s="10">
        <v>3</v>
      </c>
      <c r="D53" s="10">
        <v>1500</v>
      </c>
      <c r="E53" s="10">
        <v>4500</v>
      </c>
      <c r="F53" s="10" t="s">
        <v>17</v>
      </c>
    </row>
    <row r="54" spans="1:6" x14ac:dyDescent="0.3">
      <c r="A54" s="9">
        <v>45344</v>
      </c>
      <c r="B54" s="10" t="s">
        <v>3</v>
      </c>
      <c r="C54" s="10">
        <v>3</v>
      </c>
      <c r="D54" s="10">
        <v>500</v>
      </c>
      <c r="E54" s="10">
        <v>1500</v>
      </c>
      <c r="F54" s="10" t="s">
        <v>17</v>
      </c>
    </row>
    <row r="55" spans="1:6" x14ac:dyDescent="0.3">
      <c r="A55" s="9">
        <v>45345</v>
      </c>
      <c r="B55" s="10" t="s">
        <v>3</v>
      </c>
      <c r="C55" s="10">
        <v>5</v>
      </c>
      <c r="D55" s="10">
        <v>500</v>
      </c>
      <c r="E55" s="10">
        <v>2500</v>
      </c>
      <c r="F55" s="10" t="s">
        <v>17</v>
      </c>
    </row>
    <row r="56" spans="1:6" x14ac:dyDescent="0.3">
      <c r="A56" s="9">
        <v>45346</v>
      </c>
      <c r="B56" s="10" t="s">
        <v>2</v>
      </c>
      <c r="C56" s="10">
        <v>6</v>
      </c>
      <c r="D56" s="10">
        <v>1500</v>
      </c>
      <c r="E56" s="10">
        <v>9000</v>
      </c>
      <c r="F56" s="10" t="s">
        <v>17</v>
      </c>
    </row>
    <row r="57" spans="1:6" x14ac:dyDescent="0.3">
      <c r="A57" s="9">
        <v>45347</v>
      </c>
      <c r="B57" s="10" t="s">
        <v>5</v>
      </c>
      <c r="C57" s="10">
        <v>6</v>
      </c>
      <c r="D57" s="10">
        <v>3000</v>
      </c>
      <c r="E57" s="10">
        <v>18000</v>
      </c>
      <c r="F57" s="10" t="s">
        <v>17</v>
      </c>
    </row>
    <row r="58" spans="1:6" x14ac:dyDescent="0.3">
      <c r="A58" s="9">
        <v>45348</v>
      </c>
      <c r="B58" s="10" t="s">
        <v>4</v>
      </c>
      <c r="C58" s="10">
        <v>3</v>
      </c>
      <c r="D58" s="10">
        <v>2000</v>
      </c>
      <c r="E58" s="10">
        <v>6000</v>
      </c>
      <c r="F58" s="10" t="s">
        <v>17</v>
      </c>
    </row>
    <row r="59" spans="1:6" x14ac:dyDescent="0.3">
      <c r="A59" s="9">
        <v>45349</v>
      </c>
      <c r="B59" s="10" t="s">
        <v>2</v>
      </c>
      <c r="C59" s="10">
        <v>1</v>
      </c>
      <c r="D59" s="10">
        <v>1500</v>
      </c>
      <c r="E59" s="10">
        <v>1500</v>
      </c>
      <c r="F59" s="10" t="s">
        <v>17</v>
      </c>
    </row>
    <row r="60" spans="1:6" x14ac:dyDescent="0.3">
      <c r="A60" s="9">
        <v>45350</v>
      </c>
      <c r="B60" s="10" t="s">
        <v>5</v>
      </c>
      <c r="C60" s="10">
        <v>6</v>
      </c>
      <c r="D60" s="10">
        <v>3000</v>
      </c>
      <c r="E60" s="10">
        <v>18000</v>
      </c>
      <c r="F60" s="10" t="s">
        <v>17</v>
      </c>
    </row>
    <row r="61" spans="1:6" x14ac:dyDescent="0.3">
      <c r="A61" s="9">
        <v>45351</v>
      </c>
      <c r="B61" s="10" t="s">
        <v>3</v>
      </c>
      <c r="C61" s="10">
        <v>5</v>
      </c>
      <c r="D61" s="10">
        <v>500</v>
      </c>
      <c r="E61" s="10">
        <v>2500</v>
      </c>
      <c r="F61" s="10" t="s">
        <v>17</v>
      </c>
    </row>
    <row r="62" spans="1:6" x14ac:dyDescent="0.3">
      <c r="A62" s="9">
        <v>45352</v>
      </c>
      <c r="B62" s="10" t="s">
        <v>4</v>
      </c>
      <c r="C62" s="10">
        <v>2</v>
      </c>
      <c r="D62" s="10">
        <v>2000</v>
      </c>
      <c r="E62" s="10">
        <v>4000</v>
      </c>
      <c r="F62" s="10" t="s">
        <v>18</v>
      </c>
    </row>
    <row r="63" spans="1:6" x14ac:dyDescent="0.3">
      <c r="A63" s="9">
        <v>45353</v>
      </c>
      <c r="B63" s="10" t="s">
        <v>2</v>
      </c>
      <c r="C63" s="10">
        <v>3</v>
      </c>
      <c r="D63" s="10">
        <v>1500</v>
      </c>
      <c r="E63" s="10">
        <v>4500</v>
      </c>
      <c r="F63" s="10" t="s">
        <v>18</v>
      </c>
    </row>
    <row r="64" spans="1:6" x14ac:dyDescent="0.3">
      <c r="A64" s="9">
        <v>45354</v>
      </c>
      <c r="B64" s="10" t="s">
        <v>3</v>
      </c>
      <c r="C64" s="10">
        <v>1</v>
      </c>
      <c r="D64" s="10">
        <v>500</v>
      </c>
      <c r="E64" s="10">
        <v>500</v>
      </c>
      <c r="F64" s="10" t="s">
        <v>18</v>
      </c>
    </row>
    <row r="65" spans="1:6" x14ac:dyDescent="0.3">
      <c r="A65" s="9">
        <v>45355</v>
      </c>
      <c r="B65" s="10" t="s">
        <v>3</v>
      </c>
      <c r="C65" s="10">
        <v>5</v>
      </c>
      <c r="D65" s="10">
        <v>500</v>
      </c>
      <c r="E65" s="10">
        <v>2500</v>
      </c>
      <c r="F65" s="10" t="s">
        <v>18</v>
      </c>
    </row>
    <row r="66" spans="1:6" x14ac:dyDescent="0.3">
      <c r="A66" s="9">
        <v>45356</v>
      </c>
      <c r="B66" s="10" t="s">
        <v>4</v>
      </c>
      <c r="C66" s="10">
        <v>6</v>
      </c>
      <c r="D66" s="10">
        <v>2000</v>
      </c>
      <c r="E66" s="10">
        <v>12000</v>
      </c>
      <c r="F66" s="10" t="s">
        <v>18</v>
      </c>
    </row>
    <row r="67" spans="1:6" x14ac:dyDescent="0.3">
      <c r="A67" s="9">
        <v>45357</v>
      </c>
      <c r="B67" s="10" t="s">
        <v>3</v>
      </c>
      <c r="C67" s="10">
        <v>6</v>
      </c>
      <c r="D67" s="10">
        <v>500</v>
      </c>
      <c r="E67" s="10">
        <v>3000</v>
      </c>
      <c r="F67" s="10" t="s">
        <v>18</v>
      </c>
    </row>
    <row r="68" spans="1:6" x14ac:dyDescent="0.3">
      <c r="A68" s="9">
        <v>45358</v>
      </c>
      <c r="B68" s="10" t="s">
        <v>5</v>
      </c>
      <c r="C68" s="10">
        <v>4</v>
      </c>
      <c r="D68" s="10">
        <v>3000</v>
      </c>
      <c r="E68" s="10">
        <v>12000</v>
      </c>
      <c r="F68" s="10" t="s">
        <v>18</v>
      </c>
    </row>
    <row r="69" spans="1:6" x14ac:dyDescent="0.3">
      <c r="A69" s="9">
        <v>45359</v>
      </c>
      <c r="B69" s="10" t="s">
        <v>4</v>
      </c>
      <c r="C69" s="10">
        <v>1</v>
      </c>
      <c r="D69" s="10">
        <v>2000</v>
      </c>
      <c r="E69" s="10">
        <v>2000</v>
      </c>
      <c r="F69" s="10" t="s">
        <v>18</v>
      </c>
    </row>
    <row r="70" spans="1:6" x14ac:dyDescent="0.3">
      <c r="A70" s="9">
        <v>45360</v>
      </c>
      <c r="B70" s="10" t="s">
        <v>3</v>
      </c>
      <c r="C70" s="10">
        <v>1</v>
      </c>
      <c r="D70" s="10">
        <v>500</v>
      </c>
      <c r="E70" s="10">
        <v>500</v>
      </c>
      <c r="F70" s="10" t="s">
        <v>18</v>
      </c>
    </row>
    <row r="71" spans="1:6" x14ac:dyDescent="0.3">
      <c r="A71" s="9">
        <v>45361</v>
      </c>
      <c r="B71" s="10" t="s">
        <v>5</v>
      </c>
      <c r="C71" s="10">
        <v>3</v>
      </c>
      <c r="D71" s="10">
        <v>3000</v>
      </c>
      <c r="E71" s="10">
        <v>9000</v>
      </c>
      <c r="F71" s="10" t="s">
        <v>18</v>
      </c>
    </row>
    <row r="72" spans="1:6" x14ac:dyDescent="0.3">
      <c r="A72" s="9">
        <v>45362</v>
      </c>
      <c r="B72" s="10" t="s">
        <v>4</v>
      </c>
      <c r="C72" s="10">
        <v>1</v>
      </c>
      <c r="D72" s="10">
        <v>2000</v>
      </c>
      <c r="E72" s="10">
        <v>2000</v>
      </c>
      <c r="F72" s="10" t="s">
        <v>18</v>
      </c>
    </row>
    <row r="73" spans="1:6" x14ac:dyDescent="0.3">
      <c r="A73" s="9">
        <v>45363</v>
      </c>
      <c r="B73" s="10" t="s">
        <v>3</v>
      </c>
      <c r="C73" s="10">
        <v>2</v>
      </c>
      <c r="D73" s="10">
        <v>500</v>
      </c>
      <c r="E73" s="10">
        <v>1000</v>
      </c>
      <c r="F73" s="10" t="s">
        <v>18</v>
      </c>
    </row>
    <row r="74" spans="1:6" x14ac:dyDescent="0.3">
      <c r="A74" s="9">
        <v>45364</v>
      </c>
      <c r="B74" s="10" t="s">
        <v>5</v>
      </c>
      <c r="C74" s="10">
        <v>3</v>
      </c>
      <c r="D74" s="10">
        <v>3000</v>
      </c>
      <c r="E74" s="10">
        <v>9000</v>
      </c>
      <c r="F74" s="10" t="s">
        <v>18</v>
      </c>
    </row>
    <row r="75" spans="1:6" x14ac:dyDescent="0.3">
      <c r="A75" s="9">
        <v>45365</v>
      </c>
      <c r="B75" s="10" t="s">
        <v>3</v>
      </c>
      <c r="C75" s="10">
        <v>2</v>
      </c>
      <c r="D75" s="10">
        <v>500</v>
      </c>
      <c r="E75" s="10">
        <v>1000</v>
      </c>
      <c r="F75" s="10" t="s">
        <v>18</v>
      </c>
    </row>
    <row r="76" spans="1:6" x14ac:dyDescent="0.3">
      <c r="A76" s="9">
        <v>45366</v>
      </c>
      <c r="B76" s="10" t="s">
        <v>2</v>
      </c>
      <c r="C76" s="10">
        <v>3</v>
      </c>
      <c r="D76" s="10">
        <v>1500</v>
      </c>
      <c r="E76" s="10">
        <v>4500</v>
      </c>
      <c r="F76" s="10" t="s">
        <v>18</v>
      </c>
    </row>
    <row r="77" spans="1:6" x14ac:dyDescent="0.3">
      <c r="A77" s="9">
        <v>45367</v>
      </c>
      <c r="B77" s="10" t="s">
        <v>5</v>
      </c>
      <c r="C77" s="10">
        <v>2</v>
      </c>
      <c r="D77" s="10">
        <v>3000</v>
      </c>
      <c r="E77" s="10">
        <v>6000</v>
      </c>
      <c r="F77" s="10" t="s">
        <v>18</v>
      </c>
    </row>
    <row r="78" spans="1:6" x14ac:dyDescent="0.3">
      <c r="A78" s="9">
        <v>45368</v>
      </c>
      <c r="B78" s="10" t="s">
        <v>3</v>
      </c>
      <c r="C78" s="10">
        <v>4</v>
      </c>
      <c r="D78" s="10">
        <v>500</v>
      </c>
      <c r="E78" s="10">
        <v>2000</v>
      </c>
      <c r="F78" s="10" t="s">
        <v>18</v>
      </c>
    </row>
    <row r="79" spans="1:6" x14ac:dyDescent="0.3">
      <c r="A79" s="9">
        <v>45369</v>
      </c>
      <c r="B79" s="10" t="s">
        <v>4</v>
      </c>
      <c r="C79" s="10">
        <v>4</v>
      </c>
      <c r="D79" s="10">
        <v>2000</v>
      </c>
      <c r="E79" s="10">
        <v>8000</v>
      </c>
      <c r="F79" s="10" t="s">
        <v>18</v>
      </c>
    </row>
    <row r="80" spans="1:6" x14ac:dyDescent="0.3">
      <c r="A80" s="9">
        <v>45370</v>
      </c>
      <c r="B80" s="10" t="s">
        <v>3</v>
      </c>
      <c r="C80" s="10">
        <v>1</v>
      </c>
      <c r="D80" s="10">
        <v>500</v>
      </c>
      <c r="E80" s="10">
        <v>500</v>
      </c>
      <c r="F80" s="10" t="s">
        <v>18</v>
      </c>
    </row>
    <row r="81" spans="1:6" x14ac:dyDescent="0.3">
      <c r="A81" s="9">
        <v>45371</v>
      </c>
      <c r="B81" s="10" t="s">
        <v>4</v>
      </c>
      <c r="C81" s="10">
        <v>5</v>
      </c>
      <c r="D81" s="10">
        <v>2000</v>
      </c>
      <c r="E81" s="10">
        <v>10000</v>
      </c>
      <c r="F81" s="10" t="s">
        <v>18</v>
      </c>
    </row>
    <row r="82" spans="1:6" x14ac:dyDescent="0.3">
      <c r="A82" s="9">
        <v>45372</v>
      </c>
      <c r="B82" s="10" t="s">
        <v>3</v>
      </c>
      <c r="C82" s="10">
        <v>1</v>
      </c>
      <c r="D82" s="10">
        <v>500</v>
      </c>
      <c r="E82" s="10">
        <v>500</v>
      </c>
      <c r="F82" s="10" t="s">
        <v>18</v>
      </c>
    </row>
    <row r="83" spans="1:6" x14ac:dyDescent="0.3">
      <c r="A83" s="9">
        <v>45373</v>
      </c>
      <c r="B83" s="10" t="s">
        <v>5</v>
      </c>
      <c r="C83" s="10">
        <v>1</v>
      </c>
      <c r="D83" s="10">
        <v>3000</v>
      </c>
      <c r="E83" s="10">
        <v>3000</v>
      </c>
      <c r="F83" s="10" t="s">
        <v>18</v>
      </c>
    </row>
    <row r="84" spans="1:6" x14ac:dyDescent="0.3">
      <c r="A84" s="9">
        <v>45374</v>
      </c>
      <c r="B84" s="10" t="s">
        <v>2</v>
      </c>
      <c r="C84" s="10">
        <v>6</v>
      </c>
      <c r="D84" s="10">
        <v>1500</v>
      </c>
      <c r="E84" s="10">
        <v>9000</v>
      </c>
      <c r="F84" s="10" t="s">
        <v>18</v>
      </c>
    </row>
    <row r="85" spans="1:6" x14ac:dyDescent="0.3">
      <c r="A85" s="9">
        <v>45375</v>
      </c>
      <c r="B85" s="10" t="s">
        <v>4</v>
      </c>
      <c r="C85" s="10">
        <v>3</v>
      </c>
      <c r="D85" s="10">
        <v>2000</v>
      </c>
      <c r="E85" s="10">
        <v>6000</v>
      </c>
      <c r="F85" s="10" t="s">
        <v>18</v>
      </c>
    </row>
    <row r="86" spans="1:6" x14ac:dyDescent="0.3">
      <c r="A86" s="9">
        <v>45376</v>
      </c>
      <c r="B86" s="10" t="s">
        <v>3</v>
      </c>
      <c r="C86" s="10">
        <v>6</v>
      </c>
      <c r="D86" s="10">
        <v>500</v>
      </c>
      <c r="E86" s="10">
        <v>3000</v>
      </c>
      <c r="F86" s="10" t="s">
        <v>18</v>
      </c>
    </row>
    <row r="87" spans="1:6" x14ac:dyDescent="0.3">
      <c r="A87" s="9">
        <v>45377</v>
      </c>
      <c r="B87" s="10" t="s">
        <v>3</v>
      </c>
      <c r="C87" s="10">
        <v>1</v>
      </c>
      <c r="D87" s="10">
        <v>500</v>
      </c>
      <c r="E87" s="10">
        <v>500</v>
      </c>
      <c r="F87" s="10" t="s">
        <v>18</v>
      </c>
    </row>
    <row r="88" spans="1:6" x14ac:dyDescent="0.3">
      <c r="A88" s="9">
        <v>45378</v>
      </c>
      <c r="B88" s="10" t="s">
        <v>3</v>
      </c>
      <c r="C88" s="10">
        <v>1</v>
      </c>
      <c r="D88" s="10">
        <v>500</v>
      </c>
      <c r="E88" s="10">
        <v>500</v>
      </c>
      <c r="F88" s="10" t="s">
        <v>18</v>
      </c>
    </row>
    <row r="89" spans="1:6" x14ac:dyDescent="0.3">
      <c r="A89" s="9">
        <v>45379</v>
      </c>
      <c r="B89" s="10" t="s">
        <v>2</v>
      </c>
      <c r="C89" s="10">
        <v>4</v>
      </c>
      <c r="D89" s="10">
        <v>1500</v>
      </c>
      <c r="E89" s="10">
        <v>6000</v>
      </c>
      <c r="F89" s="10" t="s">
        <v>18</v>
      </c>
    </row>
    <row r="90" spans="1:6" x14ac:dyDescent="0.3">
      <c r="A90" s="9">
        <v>45380</v>
      </c>
      <c r="B90" s="10" t="s">
        <v>2</v>
      </c>
      <c r="C90" s="10">
        <v>1</v>
      </c>
      <c r="D90" s="10">
        <v>1500</v>
      </c>
      <c r="E90" s="10">
        <v>1500</v>
      </c>
      <c r="F90" s="10" t="s">
        <v>18</v>
      </c>
    </row>
    <row r="91" spans="1:6" x14ac:dyDescent="0.3">
      <c r="A91" s="9">
        <v>45381</v>
      </c>
      <c r="B91" s="10" t="s">
        <v>2</v>
      </c>
      <c r="C91" s="10">
        <v>5</v>
      </c>
      <c r="D91" s="10">
        <v>1500</v>
      </c>
      <c r="E91" s="10">
        <v>7500</v>
      </c>
      <c r="F91" s="10" t="s">
        <v>18</v>
      </c>
    </row>
    <row r="92" spans="1:6" x14ac:dyDescent="0.3">
      <c r="A92" s="9">
        <v>45382</v>
      </c>
      <c r="B92" s="10" t="s">
        <v>3</v>
      </c>
      <c r="C92" s="10">
        <v>3</v>
      </c>
      <c r="D92" s="10">
        <v>500</v>
      </c>
      <c r="E92" s="10">
        <v>1500</v>
      </c>
      <c r="F92" s="10" t="s">
        <v>18</v>
      </c>
    </row>
    <row r="93" spans="1:6" x14ac:dyDescent="0.3">
      <c r="A93" s="9">
        <v>45383</v>
      </c>
      <c r="B93" s="10" t="s">
        <v>2</v>
      </c>
      <c r="C93" s="10">
        <v>5</v>
      </c>
      <c r="D93" s="10">
        <v>1500</v>
      </c>
      <c r="E93" s="10">
        <v>7500</v>
      </c>
      <c r="F93" s="10" t="s">
        <v>19</v>
      </c>
    </row>
    <row r="94" spans="1:6" x14ac:dyDescent="0.3">
      <c r="A94" s="9">
        <v>45384</v>
      </c>
      <c r="B94" s="10" t="s">
        <v>4</v>
      </c>
      <c r="C94" s="10">
        <v>3</v>
      </c>
      <c r="D94" s="10">
        <v>2000</v>
      </c>
      <c r="E94" s="10">
        <v>6000</v>
      </c>
      <c r="F94" s="10" t="s">
        <v>19</v>
      </c>
    </row>
    <row r="95" spans="1:6" x14ac:dyDescent="0.3">
      <c r="A95" s="9">
        <v>45385</v>
      </c>
      <c r="B95" s="10" t="s">
        <v>3</v>
      </c>
      <c r="C95" s="10">
        <v>2</v>
      </c>
      <c r="D95" s="10">
        <v>500</v>
      </c>
      <c r="E95" s="10">
        <v>1000</v>
      </c>
      <c r="F95" s="10" t="s">
        <v>19</v>
      </c>
    </row>
    <row r="96" spans="1:6" x14ac:dyDescent="0.3">
      <c r="A96" s="9">
        <v>45386</v>
      </c>
      <c r="B96" s="10" t="s">
        <v>3</v>
      </c>
      <c r="C96" s="10">
        <v>4</v>
      </c>
      <c r="D96" s="10">
        <v>500</v>
      </c>
      <c r="E96" s="10">
        <v>2000</v>
      </c>
      <c r="F96" s="10" t="s">
        <v>19</v>
      </c>
    </row>
    <row r="97" spans="1:6" x14ac:dyDescent="0.3">
      <c r="A97" s="9">
        <v>45387</v>
      </c>
      <c r="B97" s="10" t="s">
        <v>3</v>
      </c>
      <c r="C97" s="10">
        <v>3</v>
      </c>
      <c r="D97" s="10">
        <v>500</v>
      </c>
      <c r="E97" s="10">
        <v>1500</v>
      </c>
      <c r="F97" s="10" t="s">
        <v>19</v>
      </c>
    </row>
    <row r="98" spans="1:6" x14ac:dyDescent="0.3">
      <c r="A98" s="9">
        <v>45388</v>
      </c>
      <c r="B98" s="10" t="s">
        <v>5</v>
      </c>
      <c r="C98" s="10">
        <v>5</v>
      </c>
      <c r="D98" s="10">
        <v>3000</v>
      </c>
      <c r="E98" s="10">
        <v>15000</v>
      </c>
      <c r="F98" s="10" t="s">
        <v>19</v>
      </c>
    </row>
    <row r="99" spans="1:6" x14ac:dyDescent="0.3">
      <c r="A99" s="9">
        <v>45389</v>
      </c>
      <c r="B99" s="10" t="s">
        <v>3</v>
      </c>
      <c r="C99" s="10">
        <v>1</v>
      </c>
      <c r="D99" s="10">
        <v>500</v>
      </c>
      <c r="E99" s="10">
        <v>500</v>
      </c>
      <c r="F99" s="10" t="s">
        <v>19</v>
      </c>
    </row>
    <row r="100" spans="1:6" x14ac:dyDescent="0.3">
      <c r="A100" s="9">
        <v>45390</v>
      </c>
      <c r="B100" s="10" t="s">
        <v>4</v>
      </c>
      <c r="C100" s="10">
        <v>1</v>
      </c>
      <c r="D100" s="10">
        <v>2000</v>
      </c>
      <c r="E100" s="10">
        <v>2000</v>
      </c>
      <c r="F100" s="10" t="s">
        <v>19</v>
      </c>
    </row>
    <row r="101" spans="1:6" x14ac:dyDescent="0.3">
      <c r="A101" s="9">
        <v>45391</v>
      </c>
      <c r="B101" s="10" t="s">
        <v>5</v>
      </c>
      <c r="C101" s="10">
        <v>5</v>
      </c>
      <c r="D101" s="10">
        <v>3000</v>
      </c>
      <c r="E101" s="10">
        <v>15000</v>
      </c>
      <c r="F101" s="10" t="s">
        <v>19</v>
      </c>
    </row>
    <row r="102" spans="1:6" x14ac:dyDescent="0.3">
      <c r="A102" s="9">
        <v>45392</v>
      </c>
      <c r="B102" s="10" t="s">
        <v>3</v>
      </c>
      <c r="C102" s="10">
        <v>2</v>
      </c>
      <c r="D102" s="10">
        <v>500</v>
      </c>
      <c r="E102" s="10">
        <v>1000</v>
      </c>
      <c r="F102" s="10" t="s">
        <v>19</v>
      </c>
    </row>
    <row r="103" spans="1:6" x14ac:dyDescent="0.3">
      <c r="A103" s="9">
        <v>45393</v>
      </c>
      <c r="B103" s="10" t="s">
        <v>4</v>
      </c>
      <c r="C103" s="10">
        <v>3</v>
      </c>
      <c r="D103" s="10">
        <v>2000</v>
      </c>
      <c r="E103" s="10">
        <v>6000</v>
      </c>
      <c r="F103" s="10" t="s">
        <v>19</v>
      </c>
    </row>
    <row r="104" spans="1:6" x14ac:dyDescent="0.3">
      <c r="A104" s="9">
        <v>45394</v>
      </c>
      <c r="B104" s="10" t="s">
        <v>2</v>
      </c>
      <c r="C104" s="10">
        <v>3</v>
      </c>
      <c r="D104" s="10">
        <v>1500</v>
      </c>
      <c r="E104" s="10">
        <v>4500</v>
      </c>
      <c r="F104" s="10" t="s">
        <v>19</v>
      </c>
    </row>
    <row r="105" spans="1:6" x14ac:dyDescent="0.3">
      <c r="A105" s="9">
        <v>45395</v>
      </c>
      <c r="B105" s="10" t="s">
        <v>2</v>
      </c>
      <c r="C105" s="10">
        <v>1</v>
      </c>
      <c r="D105" s="10">
        <v>1500</v>
      </c>
      <c r="E105" s="10">
        <v>1500</v>
      </c>
      <c r="F105" s="10" t="s">
        <v>19</v>
      </c>
    </row>
    <row r="106" spans="1:6" x14ac:dyDescent="0.3">
      <c r="A106" s="9">
        <v>45396</v>
      </c>
      <c r="B106" s="10" t="s">
        <v>3</v>
      </c>
      <c r="C106" s="10">
        <v>5</v>
      </c>
      <c r="D106" s="10">
        <v>500</v>
      </c>
      <c r="E106" s="10">
        <v>2500</v>
      </c>
      <c r="F106" s="10" t="s">
        <v>19</v>
      </c>
    </row>
    <row r="107" spans="1:6" x14ac:dyDescent="0.3">
      <c r="A107" s="9">
        <v>45397</v>
      </c>
      <c r="B107" s="10" t="s">
        <v>5</v>
      </c>
      <c r="C107" s="10">
        <v>3</v>
      </c>
      <c r="D107" s="10">
        <v>3000</v>
      </c>
      <c r="E107" s="10">
        <v>9000</v>
      </c>
      <c r="F107" s="10" t="s">
        <v>19</v>
      </c>
    </row>
    <row r="108" spans="1:6" x14ac:dyDescent="0.3">
      <c r="A108" s="9">
        <v>45398</v>
      </c>
      <c r="B108" s="10" t="s">
        <v>4</v>
      </c>
      <c r="C108" s="10">
        <v>1</v>
      </c>
      <c r="D108" s="10">
        <v>2000</v>
      </c>
      <c r="E108" s="10">
        <v>2000</v>
      </c>
      <c r="F108" s="10" t="s">
        <v>19</v>
      </c>
    </row>
    <row r="109" spans="1:6" x14ac:dyDescent="0.3">
      <c r="A109" s="9">
        <v>45399</v>
      </c>
      <c r="B109" s="10" t="s">
        <v>4</v>
      </c>
      <c r="C109" s="10">
        <v>1</v>
      </c>
      <c r="D109" s="10">
        <v>2000</v>
      </c>
      <c r="E109" s="10">
        <v>2000</v>
      </c>
      <c r="F109" s="10" t="s">
        <v>19</v>
      </c>
    </row>
    <row r="110" spans="1:6" x14ac:dyDescent="0.3">
      <c r="A110" s="9">
        <v>45400</v>
      </c>
      <c r="B110" s="10" t="s">
        <v>3</v>
      </c>
      <c r="C110" s="10">
        <v>4</v>
      </c>
      <c r="D110" s="10">
        <v>500</v>
      </c>
      <c r="E110" s="10">
        <v>2000</v>
      </c>
      <c r="F110" s="10" t="s">
        <v>19</v>
      </c>
    </row>
    <row r="111" spans="1:6" x14ac:dyDescent="0.3">
      <c r="A111" s="9">
        <v>45401</v>
      </c>
      <c r="B111" s="10" t="s">
        <v>2</v>
      </c>
      <c r="C111" s="10">
        <v>5</v>
      </c>
      <c r="D111" s="10">
        <v>1500</v>
      </c>
      <c r="E111" s="10">
        <v>7500</v>
      </c>
      <c r="F111" s="10" t="s">
        <v>19</v>
      </c>
    </row>
    <row r="112" spans="1:6" x14ac:dyDescent="0.3">
      <c r="A112" s="9">
        <v>45402</v>
      </c>
      <c r="B112" s="10" t="s">
        <v>3</v>
      </c>
      <c r="C112" s="10">
        <v>3</v>
      </c>
      <c r="D112" s="10">
        <v>500</v>
      </c>
      <c r="E112" s="10">
        <v>1500</v>
      </c>
      <c r="F112" s="10" t="s">
        <v>19</v>
      </c>
    </row>
    <row r="113" spans="1:6" x14ac:dyDescent="0.3">
      <c r="A113" s="9">
        <v>45403</v>
      </c>
      <c r="B113" s="10" t="s">
        <v>4</v>
      </c>
      <c r="C113" s="10">
        <v>1</v>
      </c>
      <c r="D113" s="10">
        <v>2000</v>
      </c>
      <c r="E113" s="10">
        <v>2000</v>
      </c>
      <c r="F113" s="10" t="s">
        <v>19</v>
      </c>
    </row>
    <row r="114" spans="1:6" x14ac:dyDescent="0.3">
      <c r="A114" s="9">
        <v>45404</v>
      </c>
      <c r="B114" s="10" t="s">
        <v>5</v>
      </c>
      <c r="C114" s="10">
        <v>3</v>
      </c>
      <c r="D114" s="10">
        <v>3000</v>
      </c>
      <c r="E114" s="10">
        <v>9000</v>
      </c>
      <c r="F114" s="10" t="s">
        <v>19</v>
      </c>
    </row>
    <row r="115" spans="1:6" x14ac:dyDescent="0.3">
      <c r="A115" s="9">
        <v>45405</v>
      </c>
      <c r="B115" s="10" t="s">
        <v>5</v>
      </c>
      <c r="C115" s="10">
        <v>2</v>
      </c>
      <c r="D115" s="10">
        <v>3000</v>
      </c>
      <c r="E115" s="10">
        <v>6000</v>
      </c>
      <c r="F115" s="10" t="s">
        <v>19</v>
      </c>
    </row>
    <row r="116" spans="1:6" x14ac:dyDescent="0.3">
      <c r="A116" s="9">
        <v>45406</v>
      </c>
      <c r="B116" s="10" t="s">
        <v>3</v>
      </c>
      <c r="C116" s="10">
        <v>2</v>
      </c>
      <c r="D116" s="10">
        <v>500</v>
      </c>
      <c r="E116" s="10">
        <v>1000</v>
      </c>
      <c r="F116" s="10" t="s">
        <v>19</v>
      </c>
    </row>
    <row r="117" spans="1:6" x14ac:dyDescent="0.3">
      <c r="A117" s="9">
        <v>45407</v>
      </c>
      <c r="B117" s="10" t="s">
        <v>2</v>
      </c>
      <c r="C117" s="10">
        <v>5</v>
      </c>
      <c r="D117" s="10">
        <v>1500</v>
      </c>
      <c r="E117" s="10">
        <v>7500</v>
      </c>
      <c r="F117" s="10" t="s">
        <v>19</v>
      </c>
    </row>
    <row r="118" spans="1:6" x14ac:dyDescent="0.3">
      <c r="A118" s="9">
        <v>45408</v>
      </c>
      <c r="B118" s="10" t="s">
        <v>4</v>
      </c>
      <c r="C118" s="10">
        <v>1</v>
      </c>
      <c r="D118" s="10">
        <v>2000</v>
      </c>
      <c r="E118" s="10">
        <v>2000</v>
      </c>
      <c r="F118" s="10" t="s">
        <v>19</v>
      </c>
    </row>
    <row r="119" spans="1:6" x14ac:dyDescent="0.3">
      <c r="A119" s="9">
        <v>45409</v>
      </c>
      <c r="B119" s="10" t="s">
        <v>2</v>
      </c>
      <c r="C119" s="10">
        <v>6</v>
      </c>
      <c r="D119" s="10">
        <v>1500</v>
      </c>
      <c r="E119" s="10">
        <v>9000</v>
      </c>
      <c r="F119" s="10" t="s">
        <v>19</v>
      </c>
    </row>
    <row r="120" spans="1:6" x14ac:dyDescent="0.3">
      <c r="A120" s="9">
        <v>45410</v>
      </c>
      <c r="B120" s="10" t="s">
        <v>3</v>
      </c>
      <c r="C120" s="10">
        <v>2</v>
      </c>
      <c r="D120" s="10">
        <v>500</v>
      </c>
      <c r="E120" s="10">
        <v>1000</v>
      </c>
      <c r="F120" s="10" t="s">
        <v>19</v>
      </c>
    </row>
    <row r="121" spans="1:6" x14ac:dyDescent="0.3">
      <c r="A121" s="9">
        <v>45411</v>
      </c>
      <c r="B121" s="10" t="s">
        <v>2</v>
      </c>
      <c r="C121" s="10">
        <v>4</v>
      </c>
      <c r="D121" s="10">
        <v>1500</v>
      </c>
      <c r="E121" s="10">
        <v>6000</v>
      </c>
      <c r="F121" s="10" t="s">
        <v>19</v>
      </c>
    </row>
    <row r="122" spans="1:6" x14ac:dyDescent="0.3">
      <c r="A122" s="9">
        <v>45412</v>
      </c>
      <c r="B122" s="10" t="s">
        <v>2</v>
      </c>
      <c r="C122" s="10">
        <v>2</v>
      </c>
      <c r="D122" s="10">
        <v>1500</v>
      </c>
      <c r="E122" s="10">
        <v>3000</v>
      </c>
      <c r="F122" s="10" t="s">
        <v>19</v>
      </c>
    </row>
    <row r="123" spans="1:6" x14ac:dyDescent="0.3">
      <c r="A123" s="9">
        <v>45413</v>
      </c>
      <c r="B123" s="10" t="s">
        <v>3</v>
      </c>
      <c r="C123" s="10">
        <v>2</v>
      </c>
      <c r="D123" s="10">
        <v>500</v>
      </c>
      <c r="E123" s="10">
        <v>1000</v>
      </c>
      <c r="F123" s="10" t="s">
        <v>20</v>
      </c>
    </row>
    <row r="124" spans="1:6" x14ac:dyDescent="0.3">
      <c r="A124" s="9">
        <v>45414</v>
      </c>
      <c r="B124" s="10" t="s">
        <v>5</v>
      </c>
      <c r="C124" s="10">
        <v>5</v>
      </c>
      <c r="D124" s="10">
        <v>3000</v>
      </c>
      <c r="E124" s="10">
        <v>15000</v>
      </c>
      <c r="F124" s="10" t="s">
        <v>20</v>
      </c>
    </row>
    <row r="125" spans="1:6" x14ac:dyDescent="0.3">
      <c r="A125" s="9">
        <v>45415</v>
      </c>
      <c r="B125" s="10" t="s">
        <v>2</v>
      </c>
      <c r="C125" s="10">
        <v>2</v>
      </c>
      <c r="D125" s="10">
        <v>1500</v>
      </c>
      <c r="E125" s="10">
        <v>3000</v>
      </c>
      <c r="F125" s="10" t="s">
        <v>20</v>
      </c>
    </row>
    <row r="126" spans="1:6" x14ac:dyDescent="0.3">
      <c r="A126" s="9">
        <v>45416</v>
      </c>
      <c r="B126" s="10" t="s">
        <v>4</v>
      </c>
      <c r="C126" s="10">
        <v>2</v>
      </c>
      <c r="D126" s="10">
        <v>2000</v>
      </c>
      <c r="E126" s="10">
        <v>4000</v>
      </c>
      <c r="F126" s="10" t="s">
        <v>20</v>
      </c>
    </row>
    <row r="127" spans="1:6" x14ac:dyDescent="0.3">
      <c r="A127" s="9">
        <v>45417</v>
      </c>
      <c r="B127" s="10" t="s">
        <v>5</v>
      </c>
      <c r="C127" s="10">
        <v>1</v>
      </c>
      <c r="D127" s="10">
        <v>3000</v>
      </c>
      <c r="E127" s="10">
        <v>3000</v>
      </c>
      <c r="F127" s="10" t="s">
        <v>20</v>
      </c>
    </row>
    <row r="128" spans="1:6" x14ac:dyDescent="0.3">
      <c r="A128" s="9">
        <v>45418</v>
      </c>
      <c r="B128" s="10" t="s">
        <v>4</v>
      </c>
      <c r="C128" s="10">
        <v>4</v>
      </c>
      <c r="D128" s="10">
        <v>2000</v>
      </c>
      <c r="E128" s="10">
        <v>8000</v>
      </c>
      <c r="F128" s="10" t="s">
        <v>20</v>
      </c>
    </row>
    <row r="129" spans="1:6" x14ac:dyDescent="0.3">
      <c r="A129" s="9">
        <v>45419</v>
      </c>
      <c r="B129" s="10" t="s">
        <v>2</v>
      </c>
      <c r="C129" s="10">
        <v>2</v>
      </c>
      <c r="D129" s="10">
        <v>1500</v>
      </c>
      <c r="E129" s="10">
        <v>3000</v>
      </c>
      <c r="F129" s="10" t="s">
        <v>20</v>
      </c>
    </row>
    <row r="130" spans="1:6" x14ac:dyDescent="0.3">
      <c r="A130" s="9">
        <v>45420</v>
      </c>
      <c r="B130" s="10" t="s">
        <v>5</v>
      </c>
      <c r="C130" s="10">
        <v>6</v>
      </c>
      <c r="D130" s="10">
        <v>3000</v>
      </c>
      <c r="E130" s="10">
        <v>18000</v>
      </c>
      <c r="F130" s="10" t="s">
        <v>20</v>
      </c>
    </row>
    <row r="131" spans="1:6" x14ac:dyDescent="0.3">
      <c r="A131" s="9">
        <v>45421</v>
      </c>
      <c r="B131" s="10" t="s">
        <v>5</v>
      </c>
      <c r="C131" s="10">
        <v>3</v>
      </c>
      <c r="D131" s="10">
        <v>3000</v>
      </c>
      <c r="E131" s="10">
        <v>9000</v>
      </c>
      <c r="F131" s="10" t="s">
        <v>20</v>
      </c>
    </row>
    <row r="132" spans="1:6" x14ac:dyDescent="0.3">
      <c r="A132" s="9">
        <v>45422</v>
      </c>
      <c r="B132" s="10" t="s">
        <v>5</v>
      </c>
      <c r="C132" s="10">
        <v>5</v>
      </c>
      <c r="D132" s="10">
        <v>3000</v>
      </c>
      <c r="E132" s="10">
        <v>15000</v>
      </c>
      <c r="F132" s="10" t="s">
        <v>20</v>
      </c>
    </row>
    <row r="133" spans="1:6" x14ac:dyDescent="0.3">
      <c r="A133" s="9">
        <v>45423</v>
      </c>
      <c r="B133" s="10" t="s">
        <v>5</v>
      </c>
      <c r="C133" s="10">
        <v>5</v>
      </c>
      <c r="D133" s="10">
        <v>3000</v>
      </c>
      <c r="E133" s="10">
        <v>15000</v>
      </c>
      <c r="F133" s="10" t="s">
        <v>20</v>
      </c>
    </row>
    <row r="134" spans="1:6" x14ac:dyDescent="0.3">
      <c r="A134" s="9">
        <v>45424</v>
      </c>
      <c r="B134" s="10" t="s">
        <v>2</v>
      </c>
      <c r="C134" s="10">
        <v>5</v>
      </c>
      <c r="D134" s="10">
        <v>1500</v>
      </c>
      <c r="E134" s="10">
        <v>7500</v>
      </c>
      <c r="F134" s="10" t="s">
        <v>20</v>
      </c>
    </row>
    <row r="135" spans="1:6" x14ac:dyDescent="0.3">
      <c r="A135" s="9">
        <v>45425</v>
      </c>
      <c r="B135" s="10" t="s">
        <v>5</v>
      </c>
      <c r="C135" s="10">
        <v>4</v>
      </c>
      <c r="D135" s="10">
        <v>3000</v>
      </c>
      <c r="E135" s="10">
        <v>12000</v>
      </c>
      <c r="F135" s="10" t="s">
        <v>20</v>
      </c>
    </row>
    <row r="136" spans="1:6" x14ac:dyDescent="0.3">
      <c r="A136" s="9">
        <v>45426</v>
      </c>
      <c r="B136" s="10" t="s">
        <v>3</v>
      </c>
      <c r="C136" s="10">
        <v>1</v>
      </c>
      <c r="D136" s="10">
        <v>500</v>
      </c>
      <c r="E136" s="10">
        <v>500</v>
      </c>
      <c r="F136" s="10" t="s">
        <v>20</v>
      </c>
    </row>
    <row r="137" spans="1:6" x14ac:dyDescent="0.3">
      <c r="A137" s="9">
        <v>45427</v>
      </c>
      <c r="B137" s="10" t="s">
        <v>2</v>
      </c>
      <c r="C137" s="10">
        <v>4</v>
      </c>
      <c r="D137" s="10">
        <v>1500</v>
      </c>
      <c r="E137" s="10">
        <v>6000</v>
      </c>
      <c r="F137" s="10" t="s">
        <v>20</v>
      </c>
    </row>
    <row r="138" spans="1:6" x14ac:dyDescent="0.3">
      <c r="A138" s="9">
        <v>45428</v>
      </c>
      <c r="B138" s="10" t="s">
        <v>2</v>
      </c>
      <c r="C138" s="10">
        <v>4</v>
      </c>
      <c r="D138" s="10">
        <v>1500</v>
      </c>
      <c r="E138" s="10">
        <v>6000</v>
      </c>
      <c r="F138" s="10" t="s">
        <v>20</v>
      </c>
    </row>
    <row r="139" spans="1:6" x14ac:dyDescent="0.3">
      <c r="A139" s="9">
        <v>45429</v>
      </c>
      <c r="B139" s="10" t="s">
        <v>4</v>
      </c>
      <c r="C139" s="10">
        <v>4</v>
      </c>
      <c r="D139" s="10">
        <v>2000</v>
      </c>
      <c r="E139" s="10">
        <v>8000</v>
      </c>
      <c r="F139" s="10" t="s">
        <v>20</v>
      </c>
    </row>
    <row r="140" spans="1:6" x14ac:dyDescent="0.3">
      <c r="A140" s="9">
        <v>45430</v>
      </c>
      <c r="B140" s="10" t="s">
        <v>2</v>
      </c>
      <c r="C140" s="10">
        <v>5</v>
      </c>
      <c r="D140" s="10">
        <v>1500</v>
      </c>
      <c r="E140" s="10">
        <v>7500</v>
      </c>
      <c r="F140" s="10" t="s">
        <v>20</v>
      </c>
    </row>
    <row r="141" spans="1:6" x14ac:dyDescent="0.3">
      <c r="A141" s="9">
        <v>45431</v>
      </c>
      <c r="B141" s="10" t="s">
        <v>3</v>
      </c>
      <c r="C141" s="10">
        <v>1</v>
      </c>
      <c r="D141" s="10">
        <v>500</v>
      </c>
      <c r="E141" s="10">
        <v>500</v>
      </c>
      <c r="F141" s="10" t="s">
        <v>20</v>
      </c>
    </row>
    <row r="142" spans="1:6" x14ac:dyDescent="0.3">
      <c r="A142" s="9">
        <v>45432</v>
      </c>
      <c r="B142" s="10" t="s">
        <v>4</v>
      </c>
      <c r="C142" s="10">
        <v>1</v>
      </c>
      <c r="D142" s="10">
        <v>2000</v>
      </c>
      <c r="E142" s="10">
        <v>2000</v>
      </c>
      <c r="F142" s="10" t="s">
        <v>20</v>
      </c>
    </row>
    <row r="143" spans="1:6" x14ac:dyDescent="0.3">
      <c r="A143" s="9">
        <v>45433</v>
      </c>
      <c r="B143" s="10" t="s">
        <v>2</v>
      </c>
      <c r="C143" s="10">
        <v>4</v>
      </c>
      <c r="D143" s="10">
        <v>1500</v>
      </c>
      <c r="E143" s="10">
        <v>6000</v>
      </c>
      <c r="F143" s="10" t="s">
        <v>20</v>
      </c>
    </row>
    <row r="144" spans="1:6" x14ac:dyDescent="0.3">
      <c r="A144" s="9">
        <v>45434</v>
      </c>
      <c r="B144" s="10" t="s">
        <v>4</v>
      </c>
      <c r="C144" s="10">
        <v>1</v>
      </c>
      <c r="D144" s="10">
        <v>2000</v>
      </c>
      <c r="E144" s="10">
        <v>2000</v>
      </c>
      <c r="F144" s="10" t="s">
        <v>20</v>
      </c>
    </row>
    <row r="145" spans="1:6" x14ac:dyDescent="0.3">
      <c r="A145" s="9">
        <v>45435</v>
      </c>
      <c r="B145" s="10" t="s">
        <v>5</v>
      </c>
      <c r="C145" s="10">
        <v>1</v>
      </c>
      <c r="D145" s="10">
        <v>3000</v>
      </c>
      <c r="E145" s="10">
        <v>3000</v>
      </c>
      <c r="F145" s="10" t="s">
        <v>20</v>
      </c>
    </row>
    <row r="146" spans="1:6" x14ac:dyDescent="0.3">
      <c r="A146" s="9">
        <v>45436</v>
      </c>
      <c r="B146" s="10" t="s">
        <v>4</v>
      </c>
      <c r="C146" s="10">
        <v>6</v>
      </c>
      <c r="D146" s="10">
        <v>2000</v>
      </c>
      <c r="E146" s="10">
        <v>12000</v>
      </c>
      <c r="F146" s="10" t="s">
        <v>20</v>
      </c>
    </row>
    <row r="147" spans="1:6" x14ac:dyDescent="0.3">
      <c r="A147" s="9">
        <v>45437</v>
      </c>
      <c r="B147" s="10" t="s">
        <v>3</v>
      </c>
      <c r="C147" s="10">
        <v>1</v>
      </c>
      <c r="D147" s="10">
        <v>500</v>
      </c>
      <c r="E147" s="10">
        <v>500</v>
      </c>
      <c r="F147" s="10" t="s">
        <v>20</v>
      </c>
    </row>
    <row r="148" spans="1:6" x14ac:dyDescent="0.3">
      <c r="A148" s="9">
        <v>45438</v>
      </c>
      <c r="B148" s="10" t="s">
        <v>2</v>
      </c>
      <c r="C148" s="10">
        <v>4</v>
      </c>
      <c r="D148" s="10">
        <v>1500</v>
      </c>
      <c r="E148" s="10">
        <v>6000</v>
      </c>
      <c r="F148" s="10" t="s">
        <v>20</v>
      </c>
    </row>
    <row r="149" spans="1:6" x14ac:dyDescent="0.3">
      <c r="A149" s="9">
        <v>45439</v>
      </c>
      <c r="B149" s="10" t="s">
        <v>5</v>
      </c>
      <c r="C149" s="10">
        <v>6</v>
      </c>
      <c r="D149" s="10">
        <v>3000</v>
      </c>
      <c r="E149" s="10">
        <v>18000</v>
      </c>
      <c r="F149" s="10" t="s">
        <v>20</v>
      </c>
    </row>
    <row r="150" spans="1:6" x14ac:dyDescent="0.3">
      <c r="A150" s="9">
        <v>45440</v>
      </c>
      <c r="B150" s="10" t="s">
        <v>4</v>
      </c>
      <c r="C150" s="10">
        <v>4</v>
      </c>
      <c r="D150" s="10">
        <v>2000</v>
      </c>
      <c r="E150" s="10">
        <v>8000</v>
      </c>
      <c r="F150" s="10" t="s">
        <v>20</v>
      </c>
    </row>
    <row r="151" spans="1:6" x14ac:dyDescent="0.3">
      <c r="A151" s="9">
        <v>45441</v>
      </c>
      <c r="B151" s="10" t="s">
        <v>4</v>
      </c>
      <c r="C151" s="10">
        <v>3</v>
      </c>
      <c r="D151" s="10">
        <v>2000</v>
      </c>
      <c r="E151" s="10">
        <v>6000</v>
      </c>
      <c r="F151" s="10" t="s">
        <v>20</v>
      </c>
    </row>
    <row r="152" spans="1:6" x14ac:dyDescent="0.3">
      <c r="A152" s="9">
        <v>45442</v>
      </c>
      <c r="B152" s="10" t="s">
        <v>4</v>
      </c>
      <c r="C152" s="10">
        <v>3</v>
      </c>
      <c r="D152" s="10">
        <v>2000</v>
      </c>
      <c r="E152" s="10">
        <v>6000</v>
      </c>
      <c r="F152" s="10" t="s">
        <v>20</v>
      </c>
    </row>
    <row r="153" spans="1:6" x14ac:dyDescent="0.3">
      <c r="A153" s="9">
        <v>45443</v>
      </c>
      <c r="B153" s="10" t="s">
        <v>4</v>
      </c>
      <c r="C153" s="10">
        <v>5</v>
      </c>
      <c r="D153" s="10">
        <v>2000</v>
      </c>
      <c r="E153" s="10">
        <v>10000</v>
      </c>
      <c r="F153" s="10" t="s">
        <v>20</v>
      </c>
    </row>
    <row r="154" spans="1:6" x14ac:dyDescent="0.3">
      <c r="A154" s="9">
        <v>45444</v>
      </c>
      <c r="B154" s="10" t="s">
        <v>2</v>
      </c>
      <c r="C154" s="10">
        <v>5</v>
      </c>
      <c r="D154" s="10">
        <v>1500</v>
      </c>
      <c r="E154" s="10">
        <v>7500</v>
      </c>
      <c r="F154" s="10" t="s">
        <v>21</v>
      </c>
    </row>
    <row r="155" spans="1:6" x14ac:dyDescent="0.3">
      <c r="A155" s="9">
        <v>45445</v>
      </c>
      <c r="B155" s="10" t="s">
        <v>5</v>
      </c>
      <c r="C155" s="10">
        <v>5</v>
      </c>
      <c r="D155" s="10">
        <v>3000</v>
      </c>
      <c r="E155" s="10">
        <v>15000</v>
      </c>
      <c r="F155" s="10" t="s">
        <v>21</v>
      </c>
    </row>
    <row r="156" spans="1:6" x14ac:dyDescent="0.3">
      <c r="A156" s="9">
        <v>45446</v>
      </c>
      <c r="B156" s="10" t="s">
        <v>3</v>
      </c>
      <c r="C156" s="10">
        <v>6</v>
      </c>
      <c r="D156" s="10">
        <v>500</v>
      </c>
      <c r="E156" s="10">
        <v>3000</v>
      </c>
      <c r="F156" s="10" t="s">
        <v>21</v>
      </c>
    </row>
    <row r="157" spans="1:6" x14ac:dyDescent="0.3">
      <c r="A157" s="9">
        <v>45447</v>
      </c>
      <c r="B157" s="10" t="s">
        <v>5</v>
      </c>
      <c r="C157" s="10">
        <v>4</v>
      </c>
      <c r="D157" s="10">
        <v>3000</v>
      </c>
      <c r="E157" s="10">
        <v>12000</v>
      </c>
      <c r="F157" s="10" t="s">
        <v>21</v>
      </c>
    </row>
    <row r="158" spans="1:6" x14ac:dyDescent="0.3">
      <c r="A158" s="9">
        <v>45448</v>
      </c>
      <c r="B158" s="10" t="s">
        <v>4</v>
      </c>
      <c r="C158" s="10">
        <v>4</v>
      </c>
      <c r="D158" s="10">
        <v>2000</v>
      </c>
      <c r="E158" s="10">
        <v>8000</v>
      </c>
      <c r="F158" s="10" t="s">
        <v>21</v>
      </c>
    </row>
    <row r="159" spans="1:6" x14ac:dyDescent="0.3">
      <c r="A159" s="9">
        <v>45449</v>
      </c>
      <c r="B159" s="10" t="s">
        <v>2</v>
      </c>
      <c r="C159" s="10">
        <v>4</v>
      </c>
      <c r="D159" s="10">
        <v>1500</v>
      </c>
      <c r="E159" s="10">
        <v>6000</v>
      </c>
      <c r="F159" s="10" t="s">
        <v>21</v>
      </c>
    </row>
    <row r="160" spans="1:6" x14ac:dyDescent="0.3">
      <c r="A160" s="9">
        <v>45450</v>
      </c>
      <c r="B160" s="10" t="s">
        <v>4</v>
      </c>
      <c r="C160" s="10">
        <v>2</v>
      </c>
      <c r="D160" s="10">
        <v>2000</v>
      </c>
      <c r="E160" s="10">
        <v>4000</v>
      </c>
      <c r="F160" s="10" t="s">
        <v>21</v>
      </c>
    </row>
    <row r="161" spans="1:6" x14ac:dyDescent="0.3">
      <c r="A161" s="9">
        <v>45451</v>
      </c>
      <c r="B161" s="10" t="s">
        <v>4</v>
      </c>
      <c r="C161" s="10">
        <v>2</v>
      </c>
      <c r="D161" s="10">
        <v>2000</v>
      </c>
      <c r="E161" s="10">
        <v>4000</v>
      </c>
      <c r="F161" s="10" t="s">
        <v>21</v>
      </c>
    </row>
    <row r="162" spans="1:6" x14ac:dyDescent="0.3">
      <c r="A162" s="9">
        <v>45452</v>
      </c>
      <c r="B162" s="10" t="s">
        <v>2</v>
      </c>
      <c r="C162" s="10">
        <v>4</v>
      </c>
      <c r="D162" s="10">
        <v>1500</v>
      </c>
      <c r="E162" s="10">
        <v>6000</v>
      </c>
      <c r="F162" s="10" t="s">
        <v>21</v>
      </c>
    </row>
    <row r="163" spans="1:6" x14ac:dyDescent="0.3">
      <c r="A163" s="9">
        <v>45453</v>
      </c>
      <c r="B163" s="10" t="s">
        <v>5</v>
      </c>
      <c r="C163" s="10">
        <v>5</v>
      </c>
      <c r="D163" s="10">
        <v>3000</v>
      </c>
      <c r="E163" s="10">
        <v>15000</v>
      </c>
      <c r="F163" s="10" t="s">
        <v>21</v>
      </c>
    </row>
    <row r="164" spans="1:6" x14ac:dyDescent="0.3">
      <c r="A164" s="9">
        <v>45454</v>
      </c>
      <c r="B164" s="10" t="s">
        <v>3</v>
      </c>
      <c r="C164" s="10">
        <v>1</v>
      </c>
      <c r="D164" s="10">
        <v>500</v>
      </c>
      <c r="E164" s="10">
        <v>500</v>
      </c>
      <c r="F164" s="10" t="s">
        <v>21</v>
      </c>
    </row>
    <row r="165" spans="1:6" x14ac:dyDescent="0.3">
      <c r="A165" s="9">
        <v>45455</v>
      </c>
      <c r="B165" s="10" t="s">
        <v>5</v>
      </c>
      <c r="C165" s="10">
        <v>2</v>
      </c>
      <c r="D165" s="10">
        <v>3000</v>
      </c>
      <c r="E165" s="10">
        <v>6000</v>
      </c>
      <c r="F165" s="10" t="s">
        <v>21</v>
      </c>
    </row>
    <row r="166" spans="1:6" x14ac:dyDescent="0.3">
      <c r="A166" s="9">
        <v>45456</v>
      </c>
      <c r="B166" s="10" t="s">
        <v>4</v>
      </c>
      <c r="C166" s="10">
        <v>1</v>
      </c>
      <c r="D166" s="10">
        <v>2000</v>
      </c>
      <c r="E166" s="10">
        <v>2000</v>
      </c>
      <c r="F166" s="10" t="s">
        <v>21</v>
      </c>
    </row>
    <row r="167" spans="1:6" x14ac:dyDescent="0.3">
      <c r="A167" s="9">
        <v>45457</v>
      </c>
      <c r="B167" s="10" t="s">
        <v>4</v>
      </c>
      <c r="C167" s="10">
        <v>2</v>
      </c>
      <c r="D167" s="10">
        <v>2000</v>
      </c>
      <c r="E167" s="10">
        <v>4000</v>
      </c>
      <c r="F167" s="10" t="s">
        <v>21</v>
      </c>
    </row>
    <row r="168" spans="1:6" x14ac:dyDescent="0.3">
      <c r="A168" s="9">
        <v>45458</v>
      </c>
      <c r="B168" s="10" t="s">
        <v>2</v>
      </c>
      <c r="C168" s="10">
        <v>5</v>
      </c>
      <c r="D168" s="10">
        <v>1500</v>
      </c>
      <c r="E168" s="10">
        <v>7500</v>
      </c>
      <c r="F168" s="10" t="s">
        <v>21</v>
      </c>
    </row>
    <row r="169" spans="1:6" x14ac:dyDescent="0.3">
      <c r="A169" s="9">
        <v>45459</v>
      </c>
      <c r="B169" s="10" t="s">
        <v>2</v>
      </c>
      <c r="C169" s="10">
        <v>5</v>
      </c>
      <c r="D169" s="10">
        <v>1500</v>
      </c>
      <c r="E169" s="10">
        <v>7500</v>
      </c>
      <c r="F169" s="10" t="s">
        <v>21</v>
      </c>
    </row>
    <row r="170" spans="1:6" x14ac:dyDescent="0.3">
      <c r="A170" s="9">
        <v>45460</v>
      </c>
      <c r="B170" s="10" t="s">
        <v>3</v>
      </c>
      <c r="C170" s="10">
        <v>2</v>
      </c>
      <c r="D170" s="10">
        <v>500</v>
      </c>
      <c r="E170" s="10">
        <v>1000</v>
      </c>
      <c r="F170" s="10" t="s">
        <v>21</v>
      </c>
    </row>
    <row r="171" spans="1:6" x14ac:dyDescent="0.3">
      <c r="A171" s="9">
        <v>45461</v>
      </c>
      <c r="B171" s="10" t="s">
        <v>3</v>
      </c>
      <c r="C171" s="10">
        <v>5</v>
      </c>
      <c r="D171" s="10">
        <v>500</v>
      </c>
      <c r="E171" s="10">
        <v>2500</v>
      </c>
      <c r="F171" s="10" t="s">
        <v>21</v>
      </c>
    </row>
    <row r="172" spans="1:6" x14ac:dyDescent="0.3">
      <c r="A172" s="9">
        <v>45462</v>
      </c>
      <c r="B172" s="10" t="s">
        <v>4</v>
      </c>
      <c r="C172" s="10">
        <v>1</v>
      </c>
      <c r="D172" s="10">
        <v>2000</v>
      </c>
      <c r="E172" s="10">
        <v>2000</v>
      </c>
      <c r="F172" s="10" t="s">
        <v>21</v>
      </c>
    </row>
    <row r="173" spans="1:6" x14ac:dyDescent="0.3">
      <c r="A173" s="9">
        <v>45463</v>
      </c>
      <c r="B173" s="10" t="s">
        <v>2</v>
      </c>
      <c r="C173" s="10">
        <v>1</v>
      </c>
      <c r="D173" s="10">
        <v>1500</v>
      </c>
      <c r="E173" s="10">
        <v>1500</v>
      </c>
      <c r="F173" s="10" t="s">
        <v>21</v>
      </c>
    </row>
    <row r="174" spans="1:6" x14ac:dyDescent="0.3">
      <c r="A174" s="9">
        <v>45464</v>
      </c>
      <c r="B174" s="10" t="s">
        <v>4</v>
      </c>
      <c r="C174" s="10">
        <v>6</v>
      </c>
      <c r="D174" s="10">
        <v>2000</v>
      </c>
      <c r="E174" s="10">
        <v>12000</v>
      </c>
      <c r="F174" s="10" t="s">
        <v>21</v>
      </c>
    </row>
    <row r="175" spans="1:6" x14ac:dyDescent="0.3">
      <c r="A175" s="9">
        <v>45465</v>
      </c>
      <c r="B175" s="10" t="s">
        <v>5</v>
      </c>
      <c r="C175" s="10">
        <v>5</v>
      </c>
      <c r="D175" s="10">
        <v>3000</v>
      </c>
      <c r="E175" s="10">
        <v>15000</v>
      </c>
      <c r="F175" s="10" t="s">
        <v>21</v>
      </c>
    </row>
    <row r="176" spans="1:6" x14ac:dyDescent="0.3">
      <c r="A176" s="9">
        <v>45466</v>
      </c>
      <c r="B176" s="10" t="s">
        <v>4</v>
      </c>
      <c r="C176" s="10">
        <v>5</v>
      </c>
      <c r="D176" s="10">
        <v>2000</v>
      </c>
      <c r="E176" s="10">
        <v>10000</v>
      </c>
      <c r="F176" s="10" t="s">
        <v>21</v>
      </c>
    </row>
    <row r="177" spans="1:6" x14ac:dyDescent="0.3">
      <c r="A177" s="9">
        <v>45467</v>
      </c>
      <c r="B177" s="10" t="s">
        <v>2</v>
      </c>
      <c r="C177" s="10">
        <v>6</v>
      </c>
      <c r="D177" s="10">
        <v>1500</v>
      </c>
      <c r="E177" s="10">
        <v>9000</v>
      </c>
      <c r="F177" s="10" t="s">
        <v>21</v>
      </c>
    </row>
    <row r="178" spans="1:6" x14ac:dyDescent="0.3">
      <c r="A178" s="9">
        <v>45468</v>
      </c>
      <c r="B178" s="10" t="s">
        <v>5</v>
      </c>
      <c r="C178" s="10">
        <v>6</v>
      </c>
      <c r="D178" s="10">
        <v>3000</v>
      </c>
      <c r="E178" s="10">
        <v>18000</v>
      </c>
      <c r="F178" s="10" t="s">
        <v>21</v>
      </c>
    </row>
    <row r="179" spans="1:6" x14ac:dyDescent="0.3">
      <c r="A179" s="9">
        <v>45469</v>
      </c>
      <c r="B179" s="10" t="s">
        <v>5</v>
      </c>
      <c r="C179" s="10">
        <v>4</v>
      </c>
      <c r="D179" s="10">
        <v>3000</v>
      </c>
      <c r="E179" s="10">
        <v>12000</v>
      </c>
      <c r="F179" s="10" t="s">
        <v>21</v>
      </c>
    </row>
    <row r="180" spans="1:6" x14ac:dyDescent="0.3">
      <c r="A180" s="9">
        <v>45470</v>
      </c>
      <c r="B180" s="10" t="s">
        <v>5</v>
      </c>
      <c r="C180" s="10">
        <v>6</v>
      </c>
      <c r="D180" s="10">
        <v>3000</v>
      </c>
      <c r="E180" s="10">
        <v>18000</v>
      </c>
      <c r="F180" s="10" t="s">
        <v>21</v>
      </c>
    </row>
    <row r="181" spans="1:6" x14ac:dyDescent="0.3">
      <c r="A181" s="9">
        <v>45471</v>
      </c>
      <c r="B181" s="10" t="s">
        <v>5</v>
      </c>
      <c r="C181" s="10">
        <v>3</v>
      </c>
      <c r="D181" s="10">
        <v>3000</v>
      </c>
      <c r="E181" s="10">
        <v>9000</v>
      </c>
      <c r="F181" s="10" t="s">
        <v>21</v>
      </c>
    </row>
    <row r="182" spans="1:6" x14ac:dyDescent="0.3">
      <c r="A182" s="9">
        <v>45472</v>
      </c>
      <c r="B182" s="10" t="s">
        <v>3</v>
      </c>
      <c r="C182" s="10">
        <v>3</v>
      </c>
      <c r="D182" s="10">
        <v>500</v>
      </c>
      <c r="E182" s="10">
        <v>1500</v>
      </c>
      <c r="F182" s="10" t="s">
        <v>21</v>
      </c>
    </row>
    <row r="183" spans="1:6" x14ac:dyDescent="0.3">
      <c r="A183" s="9">
        <v>45473</v>
      </c>
      <c r="B183" s="10" t="s">
        <v>2</v>
      </c>
      <c r="C183" s="10">
        <v>5</v>
      </c>
      <c r="D183" s="10">
        <v>1500</v>
      </c>
      <c r="E183" s="10">
        <v>7500</v>
      </c>
      <c r="F183" s="10" t="s">
        <v>21</v>
      </c>
    </row>
    <row r="184" spans="1:6" x14ac:dyDescent="0.3">
      <c r="A184" s="9">
        <v>45474</v>
      </c>
      <c r="B184" s="10" t="s">
        <v>5</v>
      </c>
      <c r="C184" s="10">
        <v>3</v>
      </c>
      <c r="D184" s="10">
        <v>3000</v>
      </c>
      <c r="E184" s="10">
        <v>9000</v>
      </c>
      <c r="F184" s="10" t="s">
        <v>22</v>
      </c>
    </row>
    <row r="185" spans="1:6" x14ac:dyDescent="0.3">
      <c r="A185" s="9">
        <v>45475</v>
      </c>
      <c r="B185" s="10" t="s">
        <v>5</v>
      </c>
      <c r="C185" s="10">
        <v>5</v>
      </c>
      <c r="D185" s="10">
        <v>3000</v>
      </c>
      <c r="E185" s="10">
        <v>15000</v>
      </c>
      <c r="F185" s="10" t="s">
        <v>22</v>
      </c>
    </row>
    <row r="186" spans="1:6" x14ac:dyDescent="0.3">
      <c r="A186" s="9">
        <v>45476</v>
      </c>
      <c r="B186" s="10" t="s">
        <v>3</v>
      </c>
      <c r="C186" s="10">
        <v>4</v>
      </c>
      <c r="D186" s="10">
        <v>500</v>
      </c>
      <c r="E186" s="10">
        <v>2000</v>
      </c>
      <c r="F186" s="10" t="s">
        <v>22</v>
      </c>
    </row>
    <row r="187" spans="1:6" x14ac:dyDescent="0.3">
      <c r="A187" s="9">
        <v>45477</v>
      </c>
      <c r="B187" s="10" t="s">
        <v>4</v>
      </c>
      <c r="C187" s="10">
        <v>2</v>
      </c>
      <c r="D187" s="10">
        <v>2000</v>
      </c>
      <c r="E187" s="10">
        <v>4000</v>
      </c>
      <c r="F187" s="10" t="s">
        <v>22</v>
      </c>
    </row>
    <row r="188" spans="1:6" x14ac:dyDescent="0.3">
      <c r="A188" s="9">
        <v>45478</v>
      </c>
      <c r="B188" s="10" t="s">
        <v>4</v>
      </c>
      <c r="C188" s="10">
        <v>4</v>
      </c>
      <c r="D188" s="10">
        <v>2000</v>
      </c>
      <c r="E188" s="10">
        <v>8000</v>
      </c>
      <c r="F188" s="10" t="s">
        <v>22</v>
      </c>
    </row>
    <row r="189" spans="1:6" x14ac:dyDescent="0.3">
      <c r="A189" s="9">
        <v>45479</v>
      </c>
      <c r="B189" s="10" t="s">
        <v>4</v>
      </c>
      <c r="C189" s="10">
        <v>5</v>
      </c>
      <c r="D189" s="10">
        <v>2000</v>
      </c>
      <c r="E189" s="10">
        <v>10000</v>
      </c>
      <c r="F189" s="10" t="s">
        <v>22</v>
      </c>
    </row>
    <row r="190" spans="1:6" x14ac:dyDescent="0.3">
      <c r="A190" s="9">
        <v>45480</v>
      </c>
      <c r="B190" s="10" t="s">
        <v>4</v>
      </c>
      <c r="C190" s="10">
        <v>4</v>
      </c>
      <c r="D190" s="10">
        <v>2000</v>
      </c>
      <c r="E190" s="10">
        <v>8000</v>
      </c>
      <c r="F190" s="10" t="s">
        <v>22</v>
      </c>
    </row>
    <row r="191" spans="1:6" x14ac:dyDescent="0.3">
      <c r="A191" s="9">
        <v>45481</v>
      </c>
      <c r="B191" s="10" t="s">
        <v>5</v>
      </c>
      <c r="C191" s="10">
        <v>6</v>
      </c>
      <c r="D191" s="10">
        <v>3000</v>
      </c>
      <c r="E191" s="10">
        <v>18000</v>
      </c>
      <c r="F191" s="10" t="s">
        <v>22</v>
      </c>
    </row>
    <row r="192" spans="1:6" x14ac:dyDescent="0.3">
      <c r="A192" s="9">
        <v>45482</v>
      </c>
      <c r="B192" s="10" t="s">
        <v>3</v>
      </c>
      <c r="C192" s="10">
        <v>2</v>
      </c>
      <c r="D192" s="10">
        <v>500</v>
      </c>
      <c r="E192" s="10">
        <v>1000</v>
      </c>
      <c r="F192" s="10" t="s">
        <v>22</v>
      </c>
    </row>
    <row r="193" spans="1:6" x14ac:dyDescent="0.3">
      <c r="A193" s="9">
        <v>45483</v>
      </c>
      <c r="B193" s="10" t="s">
        <v>3</v>
      </c>
      <c r="C193" s="10">
        <v>1</v>
      </c>
      <c r="D193" s="10">
        <v>500</v>
      </c>
      <c r="E193" s="10">
        <v>500</v>
      </c>
      <c r="F193" s="10" t="s">
        <v>22</v>
      </c>
    </row>
    <row r="194" spans="1:6" x14ac:dyDescent="0.3">
      <c r="A194" s="9">
        <v>45484</v>
      </c>
      <c r="B194" s="10" t="s">
        <v>3</v>
      </c>
      <c r="C194" s="10">
        <v>1</v>
      </c>
      <c r="D194" s="10">
        <v>500</v>
      </c>
      <c r="E194" s="10">
        <v>500</v>
      </c>
      <c r="F194" s="10" t="s">
        <v>22</v>
      </c>
    </row>
    <row r="195" spans="1:6" x14ac:dyDescent="0.3">
      <c r="A195" s="9">
        <v>45485</v>
      </c>
      <c r="B195" s="10" t="s">
        <v>3</v>
      </c>
      <c r="C195" s="10">
        <v>3</v>
      </c>
      <c r="D195" s="10">
        <v>500</v>
      </c>
      <c r="E195" s="10">
        <v>1500</v>
      </c>
      <c r="F195" s="10" t="s">
        <v>22</v>
      </c>
    </row>
    <row r="196" spans="1:6" x14ac:dyDescent="0.3">
      <c r="A196" s="9">
        <v>45486</v>
      </c>
      <c r="B196" s="10" t="s">
        <v>5</v>
      </c>
      <c r="C196" s="10">
        <v>2</v>
      </c>
      <c r="D196" s="10">
        <v>3000</v>
      </c>
      <c r="E196" s="10">
        <v>6000</v>
      </c>
      <c r="F196" s="10" t="s">
        <v>22</v>
      </c>
    </row>
    <row r="197" spans="1:6" x14ac:dyDescent="0.3">
      <c r="A197" s="9">
        <v>45487</v>
      </c>
      <c r="B197" s="10" t="s">
        <v>3</v>
      </c>
      <c r="C197" s="10">
        <v>2</v>
      </c>
      <c r="D197" s="10">
        <v>500</v>
      </c>
      <c r="E197" s="10">
        <v>1000</v>
      </c>
      <c r="F197" s="10" t="s">
        <v>22</v>
      </c>
    </row>
    <row r="198" spans="1:6" x14ac:dyDescent="0.3">
      <c r="A198" s="9">
        <v>45488</v>
      </c>
      <c r="B198" s="10" t="s">
        <v>3</v>
      </c>
      <c r="C198" s="10">
        <v>2</v>
      </c>
      <c r="D198" s="10">
        <v>500</v>
      </c>
      <c r="E198" s="10">
        <v>1000</v>
      </c>
      <c r="F198" s="10" t="s">
        <v>22</v>
      </c>
    </row>
    <row r="199" spans="1:6" x14ac:dyDescent="0.3">
      <c r="A199" s="9">
        <v>45489</v>
      </c>
      <c r="B199" s="10" t="s">
        <v>5</v>
      </c>
      <c r="C199" s="10">
        <v>6</v>
      </c>
      <c r="D199" s="10">
        <v>3000</v>
      </c>
      <c r="E199" s="10">
        <v>18000</v>
      </c>
      <c r="F199" s="10" t="s">
        <v>22</v>
      </c>
    </row>
    <row r="200" spans="1:6" x14ac:dyDescent="0.3">
      <c r="A200" s="9">
        <v>45490</v>
      </c>
      <c r="B200" s="10" t="s">
        <v>4</v>
      </c>
      <c r="C200" s="10">
        <v>1</v>
      </c>
      <c r="D200" s="10">
        <v>2000</v>
      </c>
      <c r="E200" s="10">
        <v>2000</v>
      </c>
      <c r="F200" s="10" t="s">
        <v>22</v>
      </c>
    </row>
    <row r="201" spans="1:6" x14ac:dyDescent="0.3">
      <c r="A201" s="9">
        <v>45491</v>
      </c>
      <c r="B201" s="10" t="s">
        <v>2</v>
      </c>
      <c r="C201" s="10">
        <v>4</v>
      </c>
      <c r="D201" s="10">
        <v>1500</v>
      </c>
      <c r="E201" s="10">
        <v>6000</v>
      </c>
      <c r="F201" s="10" t="s">
        <v>22</v>
      </c>
    </row>
    <row r="202" spans="1:6" x14ac:dyDescent="0.3">
      <c r="A202" s="9">
        <v>45492</v>
      </c>
      <c r="B202" s="10" t="s">
        <v>4</v>
      </c>
      <c r="C202" s="10">
        <v>4</v>
      </c>
      <c r="D202" s="10">
        <v>2000</v>
      </c>
      <c r="E202" s="10">
        <v>8000</v>
      </c>
      <c r="F202" s="10" t="s">
        <v>22</v>
      </c>
    </row>
    <row r="203" spans="1:6" x14ac:dyDescent="0.3">
      <c r="A203" s="9">
        <v>45493</v>
      </c>
      <c r="B203" s="10" t="s">
        <v>4</v>
      </c>
      <c r="C203" s="10">
        <v>6</v>
      </c>
      <c r="D203" s="10">
        <v>2000</v>
      </c>
      <c r="E203" s="10">
        <v>12000</v>
      </c>
      <c r="F203" s="10" t="s">
        <v>22</v>
      </c>
    </row>
    <row r="204" spans="1:6" x14ac:dyDescent="0.3">
      <c r="A204" s="9">
        <v>45494</v>
      </c>
      <c r="B204" s="10" t="s">
        <v>3</v>
      </c>
      <c r="C204" s="10">
        <v>2</v>
      </c>
      <c r="D204" s="10">
        <v>500</v>
      </c>
      <c r="E204" s="10">
        <v>1000</v>
      </c>
      <c r="F204" s="10" t="s">
        <v>22</v>
      </c>
    </row>
    <row r="205" spans="1:6" x14ac:dyDescent="0.3">
      <c r="A205" s="9">
        <v>45495</v>
      </c>
      <c r="B205" s="10" t="s">
        <v>2</v>
      </c>
      <c r="C205" s="10">
        <v>1</v>
      </c>
      <c r="D205" s="10">
        <v>1500</v>
      </c>
      <c r="E205" s="10">
        <v>1500</v>
      </c>
      <c r="F205" s="10" t="s">
        <v>22</v>
      </c>
    </row>
    <row r="206" spans="1:6" x14ac:dyDescent="0.3">
      <c r="A206" s="9">
        <v>45496</v>
      </c>
      <c r="B206" s="10" t="s">
        <v>4</v>
      </c>
      <c r="C206" s="10">
        <v>3</v>
      </c>
      <c r="D206" s="10">
        <v>2000</v>
      </c>
      <c r="E206" s="10">
        <v>6000</v>
      </c>
      <c r="F206" s="10" t="s">
        <v>22</v>
      </c>
    </row>
    <row r="207" spans="1:6" x14ac:dyDescent="0.3">
      <c r="A207" s="9">
        <v>45497</v>
      </c>
      <c r="B207" s="10" t="s">
        <v>2</v>
      </c>
      <c r="C207" s="10">
        <v>4</v>
      </c>
      <c r="D207" s="10">
        <v>1500</v>
      </c>
      <c r="E207" s="10">
        <v>6000</v>
      </c>
      <c r="F207" s="10" t="s">
        <v>22</v>
      </c>
    </row>
    <row r="208" spans="1:6" x14ac:dyDescent="0.3">
      <c r="A208" s="9">
        <v>45498</v>
      </c>
      <c r="B208" s="10" t="s">
        <v>2</v>
      </c>
      <c r="C208" s="10">
        <v>4</v>
      </c>
      <c r="D208" s="10">
        <v>1500</v>
      </c>
      <c r="E208" s="10">
        <v>6000</v>
      </c>
      <c r="F208" s="10" t="s">
        <v>22</v>
      </c>
    </row>
    <row r="209" spans="1:6" x14ac:dyDescent="0.3">
      <c r="A209" s="9">
        <v>45499</v>
      </c>
      <c r="B209" s="10" t="s">
        <v>2</v>
      </c>
      <c r="C209" s="10">
        <v>5</v>
      </c>
      <c r="D209" s="10">
        <v>1500</v>
      </c>
      <c r="E209" s="10">
        <v>7500</v>
      </c>
      <c r="F209" s="10" t="s">
        <v>22</v>
      </c>
    </row>
    <row r="210" spans="1:6" x14ac:dyDescent="0.3">
      <c r="A210" s="9">
        <v>45500</v>
      </c>
      <c r="B210" s="10" t="s">
        <v>3</v>
      </c>
      <c r="C210" s="10">
        <v>2</v>
      </c>
      <c r="D210" s="10">
        <v>500</v>
      </c>
      <c r="E210" s="10">
        <v>1000</v>
      </c>
      <c r="F210" s="10" t="s">
        <v>22</v>
      </c>
    </row>
    <row r="211" spans="1:6" x14ac:dyDescent="0.3">
      <c r="A211" s="9">
        <v>45501</v>
      </c>
      <c r="B211" s="10" t="s">
        <v>4</v>
      </c>
      <c r="C211" s="10">
        <v>4</v>
      </c>
      <c r="D211" s="10">
        <v>2000</v>
      </c>
      <c r="E211" s="10">
        <v>8000</v>
      </c>
      <c r="F211" s="10" t="s">
        <v>22</v>
      </c>
    </row>
    <row r="212" spans="1:6" x14ac:dyDescent="0.3">
      <c r="A212" s="9">
        <v>45502</v>
      </c>
      <c r="B212" s="10" t="s">
        <v>4</v>
      </c>
      <c r="C212" s="10">
        <v>2</v>
      </c>
      <c r="D212" s="10">
        <v>2000</v>
      </c>
      <c r="E212" s="10">
        <v>4000</v>
      </c>
      <c r="F212" s="10" t="s">
        <v>22</v>
      </c>
    </row>
    <row r="213" spans="1:6" x14ac:dyDescent="0.3">
      <c r="A213" s="9">
        <v>45503</v>
      </c>
      <c r="B213" s="10" t="s">
        <v>3</v>
      </c>
      <c r="C213" s="10">
        <v>2</v>
      </c>
      <c r="D213" s="10">
        <v>500</v>
      </c>
      <c r="E213" s="10">
        <v>1000</v>
      </c>
      <c r="F213" s="10" t="s">
        <v>22</v>
      </c>
    </row>
    <row r="214" spans="1:6" x14ac:dyDescent="0.3">
      <c r="A214" s="9">
        <v>45504</v>
      </c>
      <c r="B214" s="10" t="s">
        <v>4</v>
      </c>
      <c r="C214" s="10">
        <v>2</v>
      </c>
      <c r="D214" s="10">
        <v>2000</v>
      </c>
      <c r="E214" s="10">
        <v>4000</v>
      </c>
      <c r="F214" s="10" t="s">
        <v>22</v>
      </c>
    </row>
    <row r="215" spans="1:6" x14ac:dyDescent="0.3">
      <c r="A215" s="9">
        <v>45505</v>
      </c>
      <c r="B215" s="10" t="s">
        <v>4</v>
      </c>
      <c r="C215" s="10">
        <v>4</v>
      </c>
      <c r="D215" s="10">
        <v>2000</v>
      </c>
      <c r="E215" s="10">
        <v>8000</v>
      </c>
      <c r="F215" s="10" t="s">
        <v>23</v>
      </c>
    </row>
    <row r="216" spans="1:6" x14ac:dyDescent="0.3">
      <c r="A216" s="9">
        <v>45506</v>
      </c>
      <c r="B216" s="10" t="s">
        <v>2</v>
      </c>
      <c r="C216" s="10">
        <v>4</v>
      </c>
      <c r="D216" s="10">
        <v>1500</v>
      </c>
      <c r="E216" s="10">
        <v>6000</v>
      </c>
      <c r="F216" s="10" t="s">
        <v>23</v>
      </c>
    </row>
    <row r="217" spans="1:6" x14ac:dyDescent="0.3">
      <c r="A217" s="9">
        <v>45507</v>
      </c>
      <c r="B217" s="10" t="s">
        <v>5</v>
      </c>
      <c r="C217" s="10">
        <v>2</v>
      </c>
      <c r="D217" s="10">
        <v>3000</v>
      </c>
      <c r="E217" s="10">
        <v>6000</v>
      </c>
      <c r="F217" s="10" t="s">
        <v>23</v>
      </c>
    </row>
    <row r="218" spans="1:6" x14ac:dyDescent="0.3">
      <c r="A218" s="9">
        <v>45508</v>
      </c>
      <c r="B218" s="10" t="s">
        <v>2</v>
      </c>
      <c r="C218" s="10">
        <v>2</v>
      </c>
      <c r="D218" s="10">
        <v>1500</v>
      </c>
      <c r="E218" s="10">
        <v>3000</v>
      </c>
      <c r="F218" s="10" t="s">
        <v>23</v>
      </c>
    </row>
    <row r="219" spans="1:6" x14ac:dyDescent="0.3">
      <c r="A219" s="9">
        <v>45509</v>
      </c>
      <c r="B219" s="10" t="s">
        <v>5</v>
      </c>
      <c r="C219" s="10">
        <v>3</v>
      </c>
      <c r="D219" s="10">
        <v>3000</v>
      </c>
      <c r="E219" s="10">
        <v>9000</v>
      </c>
      <c r="F219" s="10" t="s">
        <v>23</v>
      </c>
    </row>
    <row r="220" spans="1:6" x14ac:dyDescent="0.3">
      <c r="A220" s="9">
        <v>45510</v>
      </c>
      <c r="B220" s="10" t="s">
        <v>4</v>
      </c>
      <c r="C220" s="10">
        <v>5</v>
      </c>
      <c r="D220" s="10">
        <v>2000</v>
      </c>
      <c r="E220" s="10">
        <v>10000</v>
      </c>
      <c r="F220" s="10" t="s">
        <v>23</v>
      </c>
    </row>
    <row r="221" spans="1:6" x14ac:dyDescent="0.3">
      <c r="A221" s="9">
        <v>45511</v>
      </c>
      <c r="B221" s="10" t="s">
        <v>2</v>
      </c>
      <c r="C221" s="10">
        <v>6</v>
      </c>
      <c r="D221" s="10">
        <v>1500</v>
      </c>
      <c r="E221" s="10">
        <v>9000</v>
      </c>
      <c r="F221" s="10" t="s">
        <v>23</v>
      </c>
    </row>
    <row r="222" spans="1:6" x14ac:dyDescent="0.3">
      <c r="A222" s="9">
        <v>45512</v>
      </c>
      <c r="B222" s="10" t="s">
        <v>2</v>
      </c>
      <c r="C222" s="10">
        <v>4</v>
      </c>
      <c r="D222" s="10">
        <v>1500</v>
      </c>
      <c r="E222" s="10">
        <v>6000</v>
      </c>
      <c r="F222" s="10" t="s">
        <v>23</v>
      </c>
    </row>
    <row r="223" spans="1:6" x14ac:dyDescent="0.3">
      <c r="A223" s="9">
        <v>45513</v>
      </c>
      <c r="B223" s="10" t="s">
        <v>4</v>
      </c>
      <c r="C223" s="10">
        <v>6</v>
      </c>
      <c r="D223" s="10">
        <v>2000</v>
      </c>
      <c r="E223" s="10">
        <v>12000</v>
      </c>
      <c r="F223" s="10" t="s">
        <v>23</v>
      </c>
    </row>
    <row r="224" spans="1:6" x14ac:dyDescent="0.3">
      <c r="A224" s="9">
        <v>45514</v>
      </c>
      <c r="B224" s="10" t="s">
        <v>4</v>
      </c>
      <c r="C224" s="10">
        <v>2</v>
      </c>
      <c r="D224" s="10">
        <v>2000</v>
      </c>
      <c r="E224" s="10">
        <v>4000</v>
      </c>
      <c r="F224" s="10" t="s">
        <v>23</v>
      </c>
    </row>
    <row r="225" spans="1:6" x14ac:dyDescent="0.3">
      <c r="A225" s="9">
        <v>45515</v>
      </c>
      <c r="B225" s="10" t="s">
        <v>5</v>
      </c>
      <c r="C225" s="10">
        <v>6</v>
      </c>
      <c r="D225" s="10">
        <v>3000</v>
      </c>
      <c r="E225" s="10">
        <v>18000</v>
      </c>
      <c r="F225" s="10" t="s">
        <v>23</v>
      </c>
    </row>
    <row r="226" spans="1:6" x14ac:dyDescent="0.3">
      <c r="A226" s="9">
        <v>45516</v>
      </c>
      <c r="B226" s="10" t="s">
        <v>5</v>
      </c>
      <c r="C226" s="10">
        <v>5</v>
      </c>
      <c r="D226" s="10">
        <v>3000</v>
      </c>
      <c r="E226" s="10">
        <v>15000</v>
      </c>
      <c r="F226" s="10" t="s">
        <v>23</v>
      </c>
    </row>
    <row r="227" spans="1:6" x14ac:dyDescent="0.3">
      <c r="A227" s="9">
        <v>45517</v>
      </c>
      <c r="B227" s="10" t="s">
        <v>5</v>
      </c>
      <c r="C227" s="10">
        <v>2</v>
      </c>
      <c r="D227" s="10">
        <v>3000</v>
      </c>
      <c r="E227" s="10">
        <v>6000</v>
      </c>
      <c r="F227" s="10" t="s">
        <v>23</v>
      </c>
    </row>
    <row r="228" spans="1:6" x14ac:dyDescent="0.3">
      <c r="A228" s="9">
        <v>45518</v>
      </c>
      <c r="B228" s="10" t="s">
        <v>4</v>
      </c>
      <c r="C228" s="10">
        <v>5</v>
      </c>
      <c r="D228" s="10">
        <v>2000</v>
      </c>
      <c r="E228" s="10">
        <v>10000</v>
      </c>
      <c r="F228" s="10" t="s">
        <v>23</v>
      </c>
    </row>
    <row r="229" spans="1:6" x14ac:dyDescent="0.3">
      <c r="A229" s="9">
        <v>45519</v>
      </c>
      <c r="B229" s="10" t="s">
        <v>3</v>
      </c>
      <c r="C229" s="10">
        <v>4</v>
      </c>
      <c r="D229" s="10">
        <v>500</v>
      </c>
      <c r="E229" s="10">
        <v>2000</v>
      </c>
      <c r="F229" s="10" t="s">
        <v>23</v>
      </c>
    </row>
    <row r="230" spans="1:6" x14ac:dyDescent="0.3">
      <c r="A230" s="9">
        <v>45520</v>
      </c>
      <c r="B230" s="10" t="s">
        <v>5</v>
      </c>
      <c r="C230" s="10">
        <v>3</v>
      </c>
      <c r="D230" s="10">
        <v>3000</v>
      </c>
      <c r="E230" s="10">
        <v>9000</v>
      </c>
      <c r="F230" s="10" t="s">
        <v>23</v>
      </c>
    </row>
    <row r="231" spans="1:6" x14ac:dyDescent="0.3">
      <c r="A231" s="9">
        <v>45521</v>
      </c>
      <c r="B231" s="10" t="s">
        <v>3</v>
      </c>
      <c r="C231" s="10">
        <v>3</v>
      </c>
      <c r="D231" s="10">
        <v>500</v>
      </c>
      <c r="E231" s="10">
        <v>1500</v>
      </c>
      <c r="F231" s="10" t="s">
        <v>23</v>
      </c>
    </row>
    <row r="232" spans="1:6" x14ac:dyDescent="0.3">
      <c r="A232" s="9">
        <v>45522</v>
      </c>
      <c r="B232" s="10" t="s">
        <v>3</v>
      </c>
      <c r="C232" s="10">
        <v>5</v>
      </c>
      <c r="D232" s="10">
        <v>500</v>
      </c>
      <c r="E232" s="10">
        <v>2500</v>
      </c>
      <c r="F232" s="10" t="s">
        <v>23</v>
      </c>
    </row>
    <row r="233" spans="1:6" x14ac:dyDescent="0.3">
      <c r="A233" s="9">
        <v>45523</v>
      </c>
      <c r="B233" s="10" t="s">
        <v>4</v>
      </c>
      <c r="C233" s="10">
        <v>1</v>
      </c>
      <c r="D233" s="10">
        <v>2000</v>
      </c>
      <c r="E233" s="10">
        <v>2000</v>
      </c>
      <c r="F233" s="10" t="s">
        <v>23</v>
      </c>
    </row>
    <row r="234" spans="1:6" x14ac:dyDescent="0.3">
      <c r="A234" s="9">
        <v>45524</v>
      </c>
      <c r="B234" s="10" t="s">
        <v>3</v>
      </c>
      <c r="C234" s="10">
        <v>1</v>
      </c>
      <c r="D234" s="10">
        <v>500</v>
      </c>
      <c r="E234" s="10">
        <v>500</v>
      </c>
      <c r="F234" s="10" t="s">
        <v>23</v>
      </c>
    </row>
    <row r="235" spans="1:6" x14ac:dyDescent="0.3">
      <c r="A235" s="9">
        <v>45525</v>
      </c>
      <c r="B235" s="10" t="s">
        <v>3</v>
      </c>
      <c r="C235" s="10">
        <v>1</v>
      </c>
      <c r="D235" s="10">
        <v>500</v>
      </c>
      <c r="E235" s="10">
        <v>500</v>
      </c>
      <c r="F235" s="10" t="s">
        <v>23</v>
      </c>
    </row>
    <row r="236" spans="1:6" x14ac:dyDescent="0.3">
      <c r="A236" s="9">
        <v>45526</v>
      </c>
      <c r="B236" s="10" t="s">
        <v>4</v>
      </c>
      <c r="C236" s="10">
        <v>4</v>
      </c>
      <c r="D236" s="10">
        <v>2000</v>
      </c>
      <c r="E236" s="10">
        <v>8000</v>
      </c>
      <c r="F236" s="10" t="s">
        <v>23</v>
      </c>
    </row>
    <row r="237" spans="1:6" x14ac:dyDescent="0.3">
      <c r="A237" s="9">
        <v>45527</v>
      </c>
      <c r="B237" s="10" t="s">
        <v>4</v>
      </c>
      <c r="C237" s="10">
        <v>6</v>
      </c>
      <c r="D237" s="10">
        <v>2000</v>
      </c>
      <c r="E237" s="10">
        <v>12000</v>
      </c>
      <c r="F237" s="10" t="s">
        <v>23</v>
      </c>
    </row>
    <row r="238" spans="1:6" x14ac:dyDescent="0.3">
      <c r="A238" s="9">
        <v>45528</v>
      </c>
      <c r="B238" s="10" t="s">
        <v>4</v>
      </c>
      <c r="C238" s="10">
        <v>1</v>
      </c>
      <c r="D238" s="10">
        <v>2000</v>
      </c>
      <c r="E238" s="10">
        <v>2000</v>
      </c>
      <c r="F238" s="10" t="s">
        <v>23</v>
      </c>
    </row>
    <row r="239" spans="1:6" x14ac:dyDescent="0.3">
      <c r="A239" s="9">
        <v>45529</v>
      </c>
      <c r="B239" s="10" t="s">
        <v>2</v>
      </c>
      <c r="C239" s="10">
        <v>6</v>
      </c>
      <c r="D239" s="10">
        <v>1500</v>
      </c>
      <c r="E239" s="10">
        <v>9000</v>
      </c>
      <c r="F239" s="10" t="s">
        <v>23</v>
      </c>
    </row>
    <row r="240" spans="1:6" x14ac:dyDescent="0.3">
      <c r="A240" s="9">
        <v>45530</v>
      </c>
      <c r="B240" s="10" t="s">
        <v>4</v>
      </c>
      <c r="C240" s="10">
        <v>5</v>
      </c>
      <c r="D240" s="10">
        <v>2000</v>
      </c>
      <c r="E240" s="10">
        <v>10000</v>
      </c>
      <c r="F240" s="10" t="s">
        <v>23</v>
      </c>
    </row>
    <row r="241" spans="1:6" x14ac:dyDescent="0.3">
      <c r="A241" s="9">
        <v>45531</v>
      </c>
      <c r="B241" s="10" t="s">
        <v>4</v>
      </c>
      <c r="C241" s="10">
        <v>5</v>
      </c>
      <c r="D241" s="10">
        <v>2000</v>
      </c>
      <c r="E241" s="10">
        <v>10000</v>
      </c>
      <c r="F241" s="10" t="s">
        <v>23</v>
      </c>
    </row>
    <row r="242" spans="1:6" x14ac:dyDescent="0.3">
      <c r="A242" s="9">
        <v>45532</v>
      </c>
      <c r="B242" s="10" t="s">
        <v>5</v>
      </c>
      <c r="C242" s="10">
        <v>4</v>
      </c>
      <c r="D242" s="10">
        <v>3000</v>
      </c>
      <c r="E242" s="10">
        <v>12000</v>
      </c>
      <c r="F242" s="10" t="s">
        <v>23</v>
      </c>
    </row>
    <row r="243" spans="1:6" x14ac:dyDescent="0.3">
      <c r="A243" s="9">
        <v>45533</v>
      </c>
      <c r="B243" s="10" t="s">
        <v>3</v>
      </c>
      <c r="C243" s="10">
        <v>3</v>
      </c>
      <c r="D243" s="10">
        <v>500</v>
      </c>
      <c r="E243" s="10">
        <v>1500</v>
      </c>
      <c r="F243" s="10" t="s">
        <v>23</v>
      </c>
    </row>
    <row r="244" spans="1:6" x14ac:dyDescent="0.3">
      <c r="A244" s="9">
        <v>45534</v>
      </c>
      <c r="B244" s="10" t="s">
        <v>4</v>
      </c>
      <c r="C244" s="10">
        <v>2</v>
      </c>
      <c r="D244" s="10">
        <v>2000</v>
      </c>
      <c r="E244" s="10">
        <v>4000</v>
      </c>
      <c r="F244" s="10" t="s">
        <v>23</v>
      </c>
    </row>
    <row r="245" spans="1:6" x14ac:dyDescent="0.3">
      <c r="A245" s="9">
        <v>45535</v>
      </c>
      <c r="B245" s="10" t="s">
        <v>4</v>
      </c>
      <c r="C245" s="10">
        <v>6</v>
      </c>
      <c r="D245" s="10">
        <v>2000</v>
      </c>
      <c r="E245" s="10">
        <v>12000</v>
      </c>
      <c r="F245" s="10" t="s">
        <v>23</v>
      </c>
    </row>
    <row r="246" spans="1:6" x14ac:dyDescent="0.3">
      <c r="A246" s="9">
        <v>45536</v>
      </c>
      <c r="B246" s="10" t="s">
        <v>2</v>
      </c>
      <c r="C246" s="10">
        <v>2</v>
      </c>
      <c r="D246" s="10">
        <v>1500</v>
      </c>
      <c r="E246" s="10">
        <v>3000</v>
      </c>
      <c r="F246" s="10" t="s">
        <v>24</v>
      </c>
    </row>
    <row r="247" spans="1:6" x14ac:dyDescent="0.3">
      <c r="A247" s="9">
        <v>45537</v>
      </c>
      <c r="B247" s="10" t="s">
        <v>3</v>
      </c>
      <c r="C247" s="10">
        <v>3</v>
      </c>
      <c r="D247" s="10">
        <v>500</v>
      </c>
      <c r="E247" s="10">
        <v>1500</v>
      </c>
      <c r="F247" s="10" t="s">
        <v>24</v>
      </c>
    </row>
    <row r="248" spans="1:6" x14ac:dyDescent="0.3">
      <c r="A248" s="9">
        <v>45538</v>
      </c>
      <c r="B248" s="10" t="s">
        <v>3</v>
      </c>
      <c r="C248" s="10">
        <v>1</v>
      </c>
      <c r="D248" s="10">
        <v>500</v>
      </c>
      <c r="E248" s="10">
        <v>500</v>
      </c>
      <c r="F248" s="10" t="s">
        <v>24</v>
      </c>
    </row>
    <row r="249" spans="1:6" x14ac:dyDescent="0.3">
      <c r="A249" s="9">
        <v>45539</v>
      </c>
      <c r="B249" s="10" t="s">
        <v>5</v>
      </c>
      <c r="C249" s="10">
        <v>1</v>
      </c>
      <c r="D249" s="10">
        <v>3000</v>
      </c>
      <c r="E249" s="10">
        <v>3000</v>
      </c>
      <c r="F249" s="10" t="s">
        <v>24</v>
      </c>
    </row>
    <row r="250" spans="1:6" x14ac:dyDescent="0.3">
      <c r="A250" s="9">
        <v>45540</v>
      </c>
      <c r="B250" s="10" t="s">
        <v>4</v>
      </c>
      <c r="C250" s="10">
        <v>6</v>
      </c>
      <c r="D250" s="10">
        <v>2000</v>
      </c>
      <c r="E250" s="10">
        <v>12000</v>
      </c>
      <c r="F250" s="10" t="s">
        <v>24</v>
      </c>
    </row>
    <row r="251" spans="1:6" x14ac:dyDescent="0.3">
      <c r="A251" s="9">
        <v>45541</v>
      </c>
      <c r="B251" s="10" t="s">
        <v>2</v>
      </c>
      <c r="C251" s="10">
        <v>6</v>
      </c>
      <c r="D251" s="10">
        <v>1500</v>
      </c>
      <c r="E251" s="10">
        <v>9000</v>
      </c>
      <c r="F251" s="10" t="s">
        <v>24</v>
      </c>
    </row>
    <row r="252" spans="1:6" x14ac:dyDescent="0.3">
      <c r="A252" s="9">
        <v>45542</v>
      </c>
      <c r="B252" s="10" t="s">
        <v>2</v>
      </c>
      <c r="C252" s="10">
        <v>3</v>
      </c>
      <c r="D252" s="10">
        <v>1500</v>
      </c>
      <c r="E252" s="10">
        <v>4500</v>
      </c>
      <c r="F252" s="10" t="s">
        <v>24</v>
      </c>
    </row>
    <row r="253" spans="1:6" x14ac:dyDescent="0.3">
      <c r="A253" s="9">
        <v>45543</v>
      </c>
      <c r="B253" s="10" t="s">
        <v>4</v>
      </c>
      <c r="C253" s="10">
        <v>2</v>
      </c>
      <c r="D253" s="10">
        <v>2000</v>
      </c>
      <c r="E253" s="10">
        <v>4000</v>
      </c>
      <c r="F253" s="10" t="s">
        <v>24</v>
      </c>
    </row>
    <row r="254" spans="1:6" x14ac:dyDescent="0.3">
      <c r="A254" s="9">
        <v>45544</v>
      </c>
      <c r="B254" s="10" t="s">
        <v>5</v>
      </c>
      <c r="C254" s="10">
        <v>4</v>
      </c>
      <c r="D254" s="10">
        <v>3000</v>
      </c>
      <c r="E254" s="10">
        <v>12000</v>
      </c>
      <c r="F254" s="10" t="s">
        <v>24</v>
      </c>
    </row>
    <row r="255" spans="1:6" x14ac:dyDescent="0.3">
      <c r="A255" s="9">
        <v>45545</v>
      </c>
      <c r="B255" s="10" t="s">
        <v>3</v>
      </c>
      <c r="C255" s="10">
        <v>6</v>
      </c>
      <c r="D255" s="10">
        <v>500</v>
      </c>
      <c r="E255" s="10">
        <v>3000</v>
      </c>
      <c r="F255" s="10" t="s">
        <v>24</v>
      </c>
    </row>
    <row r="256" spans="1:6" x14ac:dyDescent="0.3">
      <c r="A256" s="9">
        <v>45546</v>
      </c>
      <c r="B256" s="10" t="s">
        <v>2</v>
      </c>
      <c r="C256" s="10">
        <v>3</v>
      </c>
      <c r="D256" s="10">
        <v>1500</v>
      </c>
      <c r="E256" s="10">
        <v>4500</v>
      </c>
      <c r="F256" s="10" t="s">
        <v>24</v>
      </c>
    </row>
    <row r="257" spans="1:6" x14ac:dyDescent="0.3">
      <c r="A257" s="9">
        <v>45547</v>
      </c>
      <c r="B257" s="10" t="s">
        <v>5</v>
      </c>
      <c r="C257" s="10">
        <v>6</v>
      </c>
      <c r="D257" s="10">
        <v>3000</v>
      </c>
      <c r="E257" s="10">
        <v>18000</v>
      </c>
      <c r="F257" s="10" t="s">
        <v>24</v>
      </c>
    </row>
    <row r="258" spans="1:6" x14ac:dyDescent="0.3">
      <c r="A258" s="9">
        <v>45548</v>
      </c>
      <c r="B258" s="10" t="s">
        <v>5</v>
      </c>
      <c r="C258" s="10">
        <v>6</v>
      </c>
      <c r="D258" s="10">
        <v>3000</v>
      </c>
      <c r="E258" s="10">
        <v>18000</v>
      </c>
      <c r="F258" s="10" t="s">
        <v>24</v>
      </c>
    </row>
    <row r="259" spans="1:6" x14ac:dyDescent="0.3">
      <c r="A259" s="9">
        <v>45549</v>
      </c>
      <c r="B259" s="10" t="s">
        <v>5</v>
      </c>
      <c r="C259" s="10">
        <v>3</v>
      </c>
      <c r="D259" s="10">
        <v>3000</v>
      </c>
      <c r="E259" s="10">
        <v>9000</v>
      </c>
      <c r="F259" s="10" t="s">
        <v>24</v>
      </c>
    </row>
    <row r="260" spans="1:6" x14ac:dyDescent="0.3">
      <c r="A260" s="9">
        <v>45550</v>
      </c>
      <c r="B260" s="10" t="s">
        <v>3</v>
      </c>
      <c r="C260" s="10">
        <v>2</v>
      </c>
      <c r="D260" s="10">
        <v>500</v>
      </c>
      <c r="E260" s="10">
        <v>1000</v>
      </c>
      <c r="F260" s="10" t="s">
        <v>24</v>
      </c>
    </row>
    <row r="261" spans="1:6" x14ac:dyDescent="0.3">
      <c r="A261" s="9">
        <v>45551</v>
      </c>
      <c r="B261" s="10" t="s">
        <v>5</v>
      </c>
      <c r="C261" s="10">
        <v>2</v>
      </c>
      <c r="D261" s="10">
        <v>3000</v>
      </c>
      <c r="E261" s="10">
        <v>6000</v>
      </c>
      <c r="F261" s="10" t="s">
        <v>24</v>
      </c>
    </row>
    <row r="262" spans="1:6" x14ac:dyDescent="0.3">
      <c r="A262" s="9">
        <v>45552</v>
      </c>
      <c r="B262" s="10" t="s">
        <v>4</v>
      </c>
      <c r="C262" s="10">
        <v>3</v>
      </c>
      <c r="D262" s="10">
        <v>2000</v>
      </c>
      <c r="E262" s="10">
        <v>6000</v>
      </c>
      <c r="F262" s="10" t="s">
        <v>24</v>
      </c>
    </row>
    <row r="263" spans="1:6" x14ac:dyDescent="0.3">
      <c r="A263" s="9">
        <v>45553</v>
      </c>
      <c r="B263" s="10" t="s">
        <v>4</v>
      </c>
      <c r="C263" s="10">
        <v>4</v>
      </c>
      <c r="D263" s="10">
        <v>2000</v>
      </c>
      <c r="E263" s="10">
        <v>8000</v>
      </c>
      <c r="F263" s="10" t="s">
        <v>24</v>
      </c>
    </row>
    <row r="264" spans="1:6" x14ac:dyDescent="0.3">
      <c r="A264" s="9">
        <v>45554</v>
      </c>
      <c r="B264" s="10" t="s">
        <v>2</v>
      </c>
      <c r="C264" s="10">
        <v>6</v>
      </c>
      <c r="D264" s="10">
        <v>1500</v>
      </c>
      <c r="E264" s="10">
        <v>9000</v>
      </c>
      <c r="F264" s="10" t="s">
        <v>24</v>
      </c>
    </row>
    <row r="265" spans="1:6" x14ac:dyDescent="0.3">
      <c r="A265" s="9">
        <v>45555</v>
      </c>
      <c r="B265" s="10" t="s">
        <v>3</v>
      </c>
      <c r="C265" s="10">
        <v>4</v>
      </c>
      <c r="D265" s="10">
        <v>500</v>
      </c>
      <c r="E265" s="10">
        <v>2000</v>
      </c>
      <c r="F265" s="10" t="s">
        <v>24</v>
      </c>
    </row>
    <row r="266" spans="1:6" x14ac:dyDescent="0.3">
      <c r="A266" s="9">
        <v>45556</v>
      </c>
      <c r="B266" s="10" t="s">
        <v>5</v>
      </c>
      <c r="C266" s="10">
        <v>5</v>
      </c>
      <c r="D266" s="10">
        <v>3000</v>
      </c>
      <c r="E266" s="10">
        <v>15000</v>
      </c>
      <c r="F266" s="10" t="s">
        <v>24</v>
      </c>
    </row>
    <row r="267" spans="1:6" x14ac:dyDescent="0.3">
      <c r="A267" s="9">
        <v>45557</v>
      </c>
      <c r="B267" s="10" t="s">
        <v>5</v>
      </c>
      <c r="C267" s="10">
        <v>5</v>
      </c>
      <c r="D267" s="10">
        <v>3000</v>
      </c>
      <c r="E267" s="10">
        <v>15000</v>
      </c>
      <c r="F267" s="10" t="s">
        <v>24</v>
      </c>
    </row>
    <row r="268" spans="1:6" x14ac:dyDescent="0.3">
      <c r="A268" s="9">
        <v>45558</v>
      </c>
      <c r="B268" s="10" t="s">
        <v>5</v>
      </c>
      <c r="C268" s="10">
        <v>2</v>
      </c>
      <c r="D268" s="10">
        <v>3000</v>
      </c>
      <c r="E268" s="10">
        <v>6000</v>
      </c>
      <c r="F268" s="10" t="s">
        <v>24</v>
      </c>
    </row>
    <row r="269" spans="1:6" x14ac:dyDescent="0.3">
      <c r="A269" s="9">
        <v>45559</v>
      </c>
      <c r="B269" s="10" t="s">
        <v>2</v>
      </c>
      <c r="C269" s="10">
        <v>2</v>
      </c>
      <c r="D269" s="10">
        <v>1500</v>
      </c>
      <c r="E269" s="10">
        <v>3000</v>
      </c>
      <c r="F269" s="10" t="s">
        <v>24</v>
      </c>
    </row>
    <row r="270" spans="1:6" x14ac:dyDescent="0.3">
      <c r="A270" s="9">
        <v>45560</v>
      </c>
      <c r="B270" s="10" t="s">
        <v>4</v>
      </c>
      <c r="C270" s="10">
        <v>1</v>
      </c>
      <c r="D270" s="10">
        <v>2000</v>
      </c>
      <c r="E270" s="10">
        <v>2000</v>
      </c>
      <c r="F270" s="10" t="s">
        <v>24</v>
      </c>
    </row>
    <row r="271" spans="1:6" x14ac:dyDescent="0.3">
      <c r="A271" s="9">
        <v>45561</v>
      </c>
      <c r="B271" s="10" t="s">
        <v>4</v>
      </c>
      <c r="C271" s="10">
        <v>6</v>
      </c>
      <c r="D271" s="10">
        <v>2000</v>
      </c>
      <c r="E271" s="10">
        <v>12000</v>
      </c>
      <c r="F271" s="10" t="s">
        <v>24</v>
      </c>
    </row>
    <row r="272" spans="1:6" x14ac:dyDescent="0.3">
      <c r="A272" s="9">
        <v>45562</v>
      </c>
      <c r="B272" s="10" t="s">
        <v>3</v>
      </c>
      <c r="C272" s="10">
        <v>3</v>
      </c>
      <c r="D272" s="10">
        <v>500</v>
      </c>
      <c r="E272" s="10">
        <v>1500</v>
      </c>
      <c r="F272" s="10" t="s">
        <v>24</v>
      </c>
    </row>
    <row r="273" spans="1:6" x14ac:dyDescent="0.3">
      <c r="A273" s="9">
        <v>45563</v>
      </c>
      <c r="B273" s="10" t="s">
        <v>5</v>
      </c>
      <c r="C273" s="10">
        <v>3</v>
      </c>
      <c r="D273" s="10">
        <v>3000</v>
      </c>
      <c r="E273" s="10">
        <v>9000</v>
      </c>
      <c r="F273" s="10" t="s">
        <v>24</v>
      </c>
    </row>
    <row r="274" spans="1:6" x14ac:dyDescent="0.3">
      <c r="A274" s="9">
        <v>45564</v>
      </c>
      <c r="B274" s="10" t="s">
        <v>4</v>
      </c>
      <c r="C274" s="10">
        <v>6</v>
      </c>
      <c r="D274" s="10">
        <v>2000</v>
      </c>
      <c r="E274" s="10">
        <v>12000</v>
      </c>
      <c r="F274" s="10" t="s">
        <v>24</v>
      </c>
    </row>
    <row r="275" spans="1:6" x14ac:dyDescent="0.3">
      <c r="A275" s="9">
        <v>45565</v>
      </c>
      <c r="B275" s="10" t="s">
        <v>4</v>
      </c>
      <c r="C275" s="10">
        <v>4</v>
      </c>
      <c r="D275" s="10">
        <v>2000</v>
      </c>
      <c r="E275" s="10">
        <v>8000</v>
      </c>
      <c r="F275" s="10" t="s">
        <v>24</v>
      </c>
    </row>
    <row r="276" spans="1:6" x14ac:dyDescent="0.3">
      <c r="A276" s="9">
        <v>45566</v>
      </c>
      <c r="B276" s="10" t="s">
        <v>5</v>
      </c>
      <c r="C276" s="10">
        <v>3</v>
      </c>
      <c r="D276" s="10">
        <v>3000</v>
      </c>
      <c r="E276" s="10">
        <v>9000</v>
      </c>
      <c r="F276" s="10" t="s">
        <v>25</v>
      </c>
    </row>
    <row r="277" spans="1:6" x14ac:dyDescent="0.3">
      <c r="A277" s="9">
        <v>45567</v>
      </c>
      <c r="B277" s="10" t="s">
        <v>4</v>
      </c>
      <c r="C277" s="10">
        <v>2</v>
      </c>
      <c r="D277" s="10">
        <v>2000</v>
      </c>
      <c r="E277" s="10">
        <v>4000</v>
      </c>
      <c r="F277" s="10" t="s">
        <v>25</v>
      </c>
    </row>
    <row r="278" spans="1:6" x14ac:dyDescent="0.3">
      <c r="A278" s="9">
        <v>45568</v>
      </c>
      <c r="B278" s="10" t="s">
        <v>5</v>
      </c>
      <c r="C278" s="10">
        <v>6</v>
      </c>
      <c r="D278" s="10">
        <v>3000</v>
      </c>
      <c r="E278" s="10">
        <v>18000</v>
      </c>
      <c r="F278" s="10" t="s">
        <v>25</v>
      </c>
    </row>
    <row r="279" spans="1:6" x14ac:dyDescent="0.3">
      <c r="A279" s="9">
        <v>45569</v>
      </c>
      <c r="B279" s="10" t="s">
        <v>5</v>
      </c>
      <c r="C279" s="10">
        <v>1</v>
      </c>
      <c r="D279" s="10">
        <v>3000</v>
      </c>
      <c r="E279" s="10">
        <v>3000</v>
      </c>
      <c r="F279" s="10" t="s">
        <v>25</v>
      </c>
    </row>
    <row r="280" spans="1:6" x14ac:dyDescent="0.3">
      <c r="A280" s="9">
        <v>45570</v>
      </c>
      <c r="B280" s="10" t="s">
        <v>3</v>
      </c>
      <c r="C280" s="10">
        <v>3</v>
      </c>
      <c r="D280" s="10">
        <v>500</v>
      </c>
      <c r="E280" s="10">
        <v>1500</v>
      </c>
      <c r="F280" s="10" t="s">
        <v>25</v>
      </c>
    </row>
    <row r="281" spans="1:6" x14ac:dyDescent="0.3">
      <c r="A281" s="9">
        <v>45571</v>
      </c>
      <c r="B281" s="10" t="s">
        <v>4</v>
      </c>
      <c r="C281" s="10">
        <v>1</v>
      </c>
      <c r="D281" s="10">
        <v>2000</v>
      </c>
      <c r="E281" s="10">
        <v>2000</v>
      </c>
      <c r="F281" s="10" t="s">
        <v>25</v>
      </c>
    </row>
    <row r="282" spans="1:6" x14ac:dyDescent="0.3">
      <c r="A282" s="9">
        <v>45572</v>
      </c>
      <c r="B282" s="10" t="s">
        <v>5</v>
      </c>
      <c r="C282" s="10">
        <v>4</v>
      </c>
      <c r="D282" s="10">
        <v>3000</v>
      </c>
      <c r="E282" s="10">
        <v>12000</v>
      </c>
      <c r="F282" s="10" t="s">
        <v>25</v>
      </c>
    </row>
    <row r="283" spans="1:6" x14ac:dyDescent="0.3">
      <c r="A283" s="9">
        <v>45573</v>
      </c>
      <c r="B283" s="10" t="s">
        <v>2</v>
      </c>
      <c r="C283" s="10">
        <v>3</v>
      </c>
      <c r="D283" s="10">
        <v>1500</v>
      </c>
      <c r="E283" s="10">
        <v>4500</v>
      </c>
      <c r="F283" s="10" t="s">
        <v>25</v>
      </c>
    </row>
    <row r="284" spans="1:6" x14ac:dyDescent="0.3">
      <c r="A284" s="9">
        <v>45574</v>
      </c>
      <c r="B284" s="10" t="s">
        <v>3</v>
      </c>
      <c r="C284" s="10">
        <v>3</v>
      </c>
      <c r="D284" s="10">
        <v>500</v>
      </c>
      <c r="E284" s="10">
        <v>1500</v>
      </c>
      <c r="F284" s="10" t="s">
        <v>25</v>
      </c>
    </row>
    <row r="285" spans="1:6" x14ac:dyDescent="0.3">
      <c r="A285" s="9">
        <v>45575</v>
      </c>
      <c r="B285" s="10" t="s">
        <v>3</v>
      </c>
      <c r="C285" s="10">
        <v>6</v>
      </c>
      <c r="D285" s="10">
        <v>500</v>
      </c>
      <c r="E285" s="10">
        <v>3000</v>
      </c>
      <c r="F285" s="10" t="s">
        <v>25</v>
      </c>
    </row>
    <row r="286" spans="1:6" x14ac:dyDescent="0.3">
      <c r="A286" s="9">
        <v>45576</v>
      </c>
      <c r="B286" s="10" t="s">
        <v>2</v>
      </c>
      <c r="C286" s="10">
        <v>3</v>
      </c>
      <c r="D286" s="10">
        <v>1500</v>
      </c>
      <c r="E286" s="10">
        <v>4500</v>
      </c>
      <c r="F286" s="10" t="s">
        <v>25</v>
      </c>
    </row>
    <row r="287" spans="1:6" x14ac:dyDescent="0.3">
      <c r="A287" s="9">
        <v>45577</v>
      </c>
      <c r="B287" s="10" t="s">
        <v>5</v>
      </c>
      <c r="C287" s="10">
        <v>5</v>
      </c>
      <c r="D287" s="10">
        <v>3000</v>
      </c>
      <c r="E287" s="10">
        <v>15000</v>
      </c>
      <c r="F287" s="10" t="s">
        <v>25</v>
      </c>
    </row>
    <row r="288" spans="1:6" x14ac:dyDescent="0.3">
      <c r="A288" s="9">
        <v>45578</v>
      </c>
      <c r="B288" s="10" t="s">
        <v>2</v>
      </c>
      <c r="C288" s="10">
        <v>1</v>
      </c>
      <c r="D288" s="10">
        <v>1500</v>
      </c>
      <c r="E288" s="10">
        <v>1500</v>
      </c>
      <c r="F288" s="10" t="s">
        <v>25</v>
      </c>
    </row>
    <row r="289" spans="1:6" x14ac:dyDescent="0.3">
      <c r="A289" s="9">
        <v>45579</v>
      </c>
      <c r="B289" s="10" t="s">
        <v>4</v>
      </c>
      <c r="C289" s="10">
        <v>5</v>
      </c>
      <c r="D289" s="10">
        <v>2000</v>
      </c>
      <c r="E289" s="10">
        <v>10000</v>
      </c>
      <c r="F289" s="10" t="s">
        <v>25</v>
      </c>
    </row>
    <row r="290" spans="1:6" x14ac:dyDescent="0.3">
      <c r="A290" s="9">
        <v>45580</v>
      </c>
      <c r="B290" s="10" t="s">
        <v>3</v>
      </c>
      <c r="C290" s="10">
        <v>1</v>
      </c>
      <c r="D290" s="10">
        <v>500</v>
      </c>
      <c r="E290" s="10">
        <v>500</v>
      </c>
      <c r="F290" s="10" t="s">
        <v>25</v>
      </c>
    </row>
    <row r="291" spans="1:6" x14ac:dyDescent="0.3">
      <c r="A291" s="9">
        <v>45581</v>
      </c>
      <c r="B291" s="10" t="s">
        <v>3</v>
      </c>
      <c r="C291" s="10">
        <v>1</v>
      </c>
      <c r="D291" s="10">
        <v>500</v>
      </c>
      <c r="E291" s="10">
        <v>500</v>
      </c>
      <c r="F291" s="10" t="s">
        <v>25</v>
      </c>
    </row>
    <row r="292" spans="1:6" x14ac:dyDescent="0.3">
      <c r="A292" s="9">
        <v>45582</v>
      </c>
      <c r="B292" s="10" t="s">
        <v>4</v>
      </c>
      <c r="C292" s="10">
        <v>3</v>
      </c>
      <c r="D292" s="10">
        <v>2000</v>
      </c>
      <c r="E292" s="10">
        <v>6000</v>
      </c>
      <c r="F292" s="10" t="s">
        <v>25</v>
      </c>
    </row>
    <row r="293" spans="1:6" x14ac:dyDescent="0.3">
      <c r="A293" s="9">
        <v>45583</v>
      </c>
      <c r="B293" s="10" t="s">
        <v>2</v>
      </c>
      <c r="C293" s="10">
        <v>6</v>
      </c>
      <c r="D293" s="10">
        <v>1500</v>
      </c>
      <c r="E293" s="10">
        <v>9000</v>
      </c>
      <c r="F293" s="10" t="s">
        <v>25</v>
      </c>
    </row>
    <row r="294" spans="1:6" x14ac:dyDescent="0.3">
      <c r="A294" s="9">
        <v>45584</v>
      </c>
      <c r="B294" s="10" t="s">
        <v>4</v>
      </c>
      <c r="C294" s="10">
        <v>5</v>
      </c>
      <c r="D294" s="10">
        <v>2000</v>
      </c>
      <c r="E294" s="10">
        <v>10000</v>
      </c>
      <c r="F294" s="10" t="s">
        <v>25</v>
      </c>
    </row>
    <row r="295" spans="1:6" x14ac:dyDescent="0.3">
      <c r="A295" s="9">
        <v>45585</v>
      </c>
      <c r="B295" s="10" t="s">
        <v>2</v>
      </c>
      <c r="C295" s="10">
        <v>3</v>
      </c>
      <c r="D295" s="10">
        <v>1500</v>
      </c>
      <c r="E295" s="10">
        <v>4500</v>
      </c>
      <c r="F295" s="10" t="s">
        <v>25</v>
      </c>
    </row>
    <row r="296" spans="1:6" x14ac:dyDescent="0.3">
      <c r="A296" s="9">
        <v>45586</v>
      </c>
      <c r="B296" s="10" t="s">
        <v>3</v>
      </c>
      <c r="C296" s="10">
        <v>4</v>
      </c>
      <c r="D296" s="10">
        <v>500</v>
      </c>
      <c r="E296" s="10">
        <v>2000</v>
      </c>
      <c r="F296" s="10" t="s">
        <v>25</v>
      </c>
    </row>
    <row r="297" spans="1:6" x14ac:dyDescent="0.3">
      <c r="A297" s="9">
        <v>45587</v>
      </c>
      <c r="B297" s="10" t="s">
        <v>5</v>
      </c>
      <c r="C297" s="10">
        <v>6</v>
      </c>
      <c r="D297" s="10">
        <v>3000</v>
      </c>
      <c r="E297" s="10">
        <v>18000</v>
      </c>
      <c r="F297" s="10" t="s">
        <v>25</v>
      </c>
    </row>
    <row r="298" spans="1:6" x14ac:dyDescent="0.3">
      <c r="A298" s="9">
        <v>45588</v>
      </c>
      <c r="B298" s="10" t="s">
        <v>4</v>
      </c>
      <c r="C298" s="10">
        <v>1</v>
      </c>
      <c r="D298" s="10">
        <v>2000</v>
      </c>
      <c r="E298" s="10">
        <v>2000</v>
      </c>
      <c r="F298" s="10" t="s">
        <v>25</v>
      </c>
    </row>
    <row r="299" spans="1:6" x14ac:dyDescent="0.3">
      <c r="A299" s="9">
        <v>45589</v>
      </c>
      <c r="B299" s="10" t="s">
        <v>5</v>
      </c>
      <c r="C299" s="10">
        <v>6</v>
      </c>
      <c r="D299" s="10">
        <v>3000</v>
      </c>
      <c r="E299" s="10">
        <v>18000</v>
      </c>
      <c r="F299" s="10" t="s">
        <v>25</v>
      </c>
    </row>
    <row r="300" spans="1:6" x14ac:dyDescent="0.3">
      <c r="A300" s="9">
        <v>45590</v>
      </c>
      <c r="B300" s="10" t="s">
        <v>4</v>
      </c>
      <c r="C300" s="10">
        <v>2</v>
      </c>
      <c r="D300" s="10">
        <v>2000</v>
      </c>
      <c r="E300" s="10">
        <v>4000</v>
      </c>
      <c r="F300" s="10" t="s">
        <v>25</v>
      </c>
    </row>
    <row r="301" spans="1:6" x14ac:dyDescent="0.3">
      <c r="A301" s="9">
        <v>45591</v>
      </c>
      <c r="B301" s="10" t="s">
        <v>4</v>
      </c>
      <c r="C301" s="10">
        <v>4</v>
      </c>
      <c r="D301" s="10">
        <v>2000</v>
      </c>
      <c r="E301" s="10">
        <v>8000</v>
      </c>
      <c r="F301" s="10" t="s">
        <v>25</v>
      </c>
    </row>
    <row r="302" spans="1:6" x14ac:dyDescent="0.3">
      <c r="A302" s="9">
        <v>45592</v>
      </c>
      <c r="B302" s="10" t="s">
        <v>4</v>
      </c>
      <c r="C302" s="10">
        <v>5</v>
      </c>
      <c r="D302" s="10">
        <v>2000</v>
      </c>
      <c r="E302" s="10">
        <v>10000</v>
      </c>
      <c r="F302" s="10" t="s">
        <v>25</v>
      </c>
    </row>
    <row r="303" spans="1:6" x14ac:dyDescent="0.3">
      <c r="A303" s="9">
        <v>45593</v>
      </c>
      <c r="B303" s="10" t="s">
        <v>2</v>
      </c>
      <c r="C303" s="10">
        <v>5</v>
      </c>
      <c r="D303" s="10">
        <v>1500</v>
      </c>
      <c r="E303" s="10">
        <v>7500</v>
      </c>
      <c r="F303" s="10" t="s">
        <v>25</v>
      </c>
    </row>
    <row r="304" spans="1:6" x14ac:dyDescent="0.3">
      <c r="A304" s="9">
        <v>45594</v>
      </c>
      <c r="B304" s="10" t="s">
        <v>3</v>
      </c>
      <c r="C304" s="10">
        <v>4</v>
      </c>
      <c r="D304" s="10">
        <v>500</v>
      </c>
      <c r="E304" s="10">
        <v>2000</v>
      </c>
      <c r="F304" s="10" t="s">
        <v>25</v>
      </c>
    </row>
    <row r="305" spans="1:6" x14ac:dyDescent="0.3">
      <c r="A305" s="9">
        <v>45595</v>
      </c>
      <c r="B305" s="10" t="s">
        <v>4</v>
      </c>
      <c r="C305" s="10">
        <v>6</v>
      </c>
      <c r="D305" s="10">
        <v>2000</v>
      </c>
      <c r="E305" s="10">
        <v>12000</v>
      </c>
      <c r="F305" s="10" t="s">
        <v>25</v>
      </c>
    </row>
    <row r="306" spans="1:6" x14ac:dyDescent="0.3">
      <c r="A306" s="9">
        <v>45596</v>
      </c>
      <c r="B306" s="10" t="s">
        <v>5</v>
      </c>
      <c r="C306" s="10">
        <v>1</v>
      </c>
      <c r="D306" s="10">
        <v>3000</v>
      </c>
      <c r="E306" s="10">
        <v>3000</v>
      </c>
      <c r="F306" s="10" t="s">
        <v>25</v>
      </c>
    </row>
    <row r="307" spans="1:6" x14ac:dyDescent="0.3">
      <c r="A307" s="9">
        <v>45597</v>
      </c>
      <c r="B307" s="10" t="s">
        <v>3</v>
      </c>
      <c r="C307" s="10">
        <v>5</v>
      </c>
      <c r="D307" s="10">
        <v>500</v>
      </c>
      <c r="E307" s="10">
        <v>2500</v>
      </c>
      <c r="F307" s="10" t="s">
        <v>26</v>
      </c>
    </row>
    <row r="308" spans="1:6" x14ac:dyDescent="0.3">
      <c r="A308" s="9">
        <v>45598</v>
      </c>
      <c r="B308" s="10" t="s">
        <v>3</v>
      </c>
      <c r="C308" s="10">
        <v>6</v>
      </c>
      <c r="D308" s="10">
        <v>500</v>
      </c>
      <c r="E308" s="10">
        <v>3000</v>
      </c>
      <c r="F308" s="10" t="s">
        <v>26</v>
      </c>
    </row>
    <row r="309" spans="1:6" x14ac:dyDescent="0.3">
      <c r="A309" s="9">
        <v>45599</v>
      </c>
      <c r="B309" s="10" t="s">
        <v>2</v>
      </c>
      <c r="C309" s="10">
        <v>1</v>
      </c>
      <c r="D309" s="10">
        <v>1500</v>
      </c>
      <c r="E309" s="10">
        <v>1500</v>
      </c>
      <c r="F309" s="10" t="s">
        <v>26</v>
      </c>
    </row>
    <row r="310" spans="1:6" x14ac:dyDescent="0.3">
      <c r="A310" s="9">
        <v>45600</v>
      </c>
      <c r="B310" s="10" t="s">
        <v>5</v>
      </c>
      <c r="C310" s="10">
        <v>6</v>
      </c>
      <c r="D310" s="10">
        <v>3000</v>
      </c>
      <c r="E310" s="10">
        <v>18000</v>
      </c>
      <c r="F310" s="10" t="s">
        <v>26</v>
      </c>
    </row>
    <row r="311" spans="1:6" x14ac:dyDescent="0.3">
      <c r="A311" s="9">
        <v>45601</v>
      </c>
      <c r="B311" s="10" t="s">
        <v>5</v>
      </c>
      <c r="C311" s="10">
        <v>2</v>
      </c>
      <c r="D311" s="10">
        <v>3000</v>
      </c>
      <c r="E311" s="10">
        <v>6000</v>
      </c>
      <c r="F311" s="10" t="s">
        <v>26</v>
      </c>
    </row>
    <row r="312" spans="1:6" x14ac:dyDescent="0.3">
      <c r="A312" s="9">
        <v>45602</v>
      </c>
      <c r="B312" s="10" t="s">
        <v>5</v>
      </c>
      <c r="C312" s="10">
        <v>2</v>
      </c>
      <c r="D312" s="10">
        <v>3000</v>
      </c>
      <c r="E312" s="10">
        <v>6000</v>
      </c>
      <c r="F312" s="10" t="s">
        <v>26</v>
      </c>
    </row>
    <row r="313" spans="1:6" x14ac:dyDescent="0.3">
      <c r="A313" s="9">
        <v>45603</v>
      </c>
      <c r="B313" s="10" t="s">
        <v>2</v>
      </c>
      <c r="C313" s="10">
        <v>5</v>
      </c>
      <c r="D313" s="10">
        <v>1500</v>
      </c>
      <c r="E313" s="10">
        <v>7500</v>
      </c>
      <c r="F313" s="10" t="s">
        <v>26</v>
      </c>
    </row>
    <row r="314" spans="1:6" x14ac:dyDescent="0.3">
      <c r="A314" s="9">
        <v>45604</v>
      </c>
      <c r="B314" s="10" t="s">
        <v>2</v>
      </c>
      <c r="C314" s="10">
        <v>4</v>
      </c>
      <c r="D314" s="10">
        <v>1500</v>
      </c>
      <c r="E314" s="10">
        <v>6000</v>
      </c>
      <c r="F314" s="10" t="s">
        <v>26</v>
      </c>
    </row>
    <row r="315" spans="1:6" x14ac:dyDescent="0.3">
      <c r="A315" s="9">
        <v>45605</v>
      </c>
      <c r="B315" s="10" t="s">
        <v>2</v>
      </c>
      <c r="C315" s="10">
        <v>2</v>
      </c>
      <c r="D315" s="10">
        <v>1500</v>
      </c>
      <c r="E315" s="10">
        <v>3000</v>
      </c>
      <c r="F315" s="10" t="s">
        <v>26</v>
      </c>
    </row>
    <row r="316" spans="1:6" x14ac:dyDescent="0.3">
      <c r="A316" s="9">
        <v>45606</v>
      </c>
      <c r="B316" s="10" t="s">
        <v>5</v>
      </c>
      <c r="C316" s="10">
        <v>2</v>
      </c>
      <c r="D316" s="10">
        <v>3000</v>
      </c>
      <c r="E316" s="10">
        <v>6000</v>
      </c>
      <c r="F316" s="10" t="s">
        <v>26</v>
      </c>
    </row>
    <row r="317" spans="1:6" x14ac:dyDescent="0.3">
      <c r="A317" s="9">
        <v>45607</v>
      </c>
      <c r="B317" s="10" t="s">
        <v>4</v>
      </c>
      <c r="C317" s="10">
        <v>5</v>
      </c>
      <c r="D317" s="10">
        <v>2000</v>
      </c>
      <c r="E317" s="10">
        <v>10000</v>
      </c>
      <c r="F317" s="10" t="s">
        <v>26</v>
      </c>
    </row>
    <row r="318" spans="1:6" x14ac:dyDescent="0.3">
      <c r="A318" s="9">
        <v>45608</v>
      </c>
      <c r="B318" s="10" t="s">
        <v>3</v>
      </c>
      <c r="C318" s="10">
        <v>4</v>
      </c>
      <c r="D318" s="10">
        <v>500</v>
      </c>
      <c r="E318" s="10">
        <v>2000</v>
      </c>
      <c r="F318" s="10" t="s">
        <v>26</v>
      </c>
    </row>
    <row r="319" spans="1:6" x14ac:dyDescent="0.3">
      <c r="A319" s="9">
        <v>45609</v>
      </c>
      <c r="B319" s="10" t="s">
        <v>5</v>
      </c>
      <c r="C319" s="10">
        <v>6</v>
      </c>
      <c r="D319" s="10">
        <v>3000</v>
      </c>
      <c r="E319" s="10">
        <v>18000</v>
      </c>
      <c r="F319" s="10" t="s">
        <v>26</v>
      </c>
    </row>
    <row r="320" spans="1:6" x14ac:dyDescent="0.3">
      <c r="A320" s="9">
        <v>45610</v>
      </c>
      <c r="B320" s="10" t="s">
        <v>2</v>
      </c>
      <c r="C320" s="10">
        <v>3</v>
      </c>
      <c r="D320" s="10">
        <v>1500</v>
      </c>
      <c r="E320" s="10">
        <v>4500</v>
      </c>
      <c r="F320" s="10" t="s">
        <v>26</v>
      </c>
    </row>
    <row r="321" spans="1:6" x14ac:dyDescent="0.3">
      <c r="A321" s="9">
        <v>45611</v>
      </c>
      <c r="B321" s="10" t="s">
        <v>4</v>
      </c>
      <c r="C321" s="10">
        <v>4</v>
      </c>
      <c r="D321" s="10">
        <v>2000</v>
      </c>
      <c r="E321" s="10">
        <v>8000</v>
      </c>
      <c r="F321" s="10" t="s">
        <v>26</v>
      </c>
    </row>
    <row r="322" spans="1:6" x14ac:dyDescent="0.3">
      <c r="A322" s="9">
        <v>45612</v>
      </c>
      <c r="B322" s="10" t="s">
        <v>2</v>
      </c>
      <c r="C322" s="10">
        <v>5</v>
      </c>
      <c r="D322" s="10">
        <v>1500</v>
      </c>
      <c r="E322" s="10">
        <v>7500</v>
      </c>
      <c r="F322" s="10" t="s">
        <v>26</v>
      </c>
    </row>
    <row r="323" spans="1:6" x14ac:dyDescent="0.3">
      <c r="A323" s="9">
        <v>45613</v>
      </c>
      <c r="B323" s="10" t="s">
        <v>3</v>
      </c>
      <c r="C323" s="10">
        <v>1</v>
      </c>
      <c r="D323" s="10">
        <v>500</v>
      </c>
      <c r="E323" s="10">
        <v>500</v>
      </c>
      <c r="F323" s="10" t="s">
        <v>26</v>
      </c>
    </row>
    <row r="324" spans="1:6" x14ac:dyDescent="0.3">
      <c r="A324" s="9">
        <v>45614</v>
      </c>
      <c r="B324" s="10" t="s">
        <v>5</v>
      </c>
      <c r="C324" s="10">
        <v>6</v>
      </c>
      <c r="D324" s="10">
        <v>3000</v>
      </c>
      <c r="E324" s="10">
        <v>18000</v>
      </c>
      <c r="F324" s="10" t="s">
        <v>26</v>
      </c>
    </row>
    <row r="325" spans="1:6" x14ac:dyDescent="0.3">
      <c r="A325" s="9">
        <v>45615</v>
      </c>
      <c r="B325" s="10" t="s">
        <v>5</v>
      </c>
      <c r="C325" s="10">
        <v>6</v>
      </c>
      <c r="D325" s="10">
        <v>3000</v>
      </c>
      <c r="E325" s="10">
        <v>18000</v>
      </c>
      <c r="F325" s="10" t="s">
        <v>26</v>
      </c>
    </row>
    <row r="326" spans="1:6" x14ac:dyDescent="0.3">
      <c r="A326" s="9">
        <v>45616</v>
      </c>
      <c r="B326" s="10" t="s">
        <v>3</v>
      </c>
      <c r="C326" s="10">
        <v>3</v>
      </c>
      <c r="D326" s="10">
        <v>500</v>
      </c>
      <c r="E326" s="10">
        <v>1500</v>
      </c>
      <c r="F326" s="10" t="s">
        <v>26</v>
      </c>
    </row>
    <row r="327" spans="1:6" x14ac:dyDescent="0.3">
      <c r="A327" s="9">
        <v>45617</v>
      </c>
      <c r="B327" s="10" t="s">
        <v>4</v>
      </c>
      <c r="C327" s="10">
        <v>3</v>
      </c>
      <c r="D327" s="10">
        <v>2000</v>
      </c>
      <c r="E327" s="10">
        <v>6000</v>
      </c>
      <c r="F327" s="10" t="s">
        <v>26</v>
      </c>
    </row>
    <row r="328" spans="1:6" x14ac:dyDescent="0.3">
      <c r="A328" s="9">
        <v>45618</v>
      </c>
      <c r="B328" s="10" t="s">
        <v>3</v>
      </c>
      <c r="C328" s="10">
        <v>2</v>
      </c>
      <c r="D328" s="10">
        <v>500</v>
      </c>
      <c r="E328" s="10">
        <v>1000</v>
      </c>
      <c r="F328" s="10" t="s">
        <v>26</v>
      </c>
    </row>
    <row r="329" spans="1:6" x14ac:dyDescent="0.3">
      <c r="A329" s="9">
        <v>45619</v>
      </c>
      <c r="B329" s="10" t="s">
        <v>4</v>
      </c>
      <c r="C329" s="10">
        <v>6</v>
      </c>
      <c r="D329" s="10">
        <v>2000</v>
      </c>
      <c r="E329" s="10">
        <v>12000</v>
      </c>
      <c r="F329" s="10" t="s">
        <v>26</v>
      </c>
    </row>
    <row r="330" spans="1:6" x14ac:dyDescent="0.3">
      <c r="A330" s="9">
        <v>45620</v>
      </c>
      <c r="B330" s="10" t="s">
        <v>3</v>
      </c>
      <c r="C330" s="10">
        <v>6</v>
      </c>
      <c r="D330" s="10">
        <v>500</v>
      </c>
      <c r="E330" s="10">
        <v>3000</v>
      </c>
      <c r="F330" s="10" t="s">
        <v>26</v>
      </c>
    </row>
    <row r="331" spans="1:6" x14ac:dyDescent="0.3">
      <c r="A331" s="9">
        <v>45621</v>
      </c>
      <c r="B331" s="10" t="s">
        <v>5</v>
      </c>
      <c r="C331" s="10">
        <v>5</v>
      </c>
      <c r="D331" s="10">
        <v>3000</v>
      </c>
      <c r="E331" s="10">
        <v>15000</v>
      </c>
      <c r="F331" s="10" t="s">
        <v>26</v>
      </c>
    </row>
    <row r="332" spans="1:6" x14ac:dyDescent="0.3">
      <c r="A332" s="9">
        <v>45622</v>
      </c>
      <c r="B332" s="10" t="s">
        <v>2</v>
      </c>
      <c r="C332" s="10">
        <v>3</v>
      </c>
      <c r="D332" s="10">
        <v>1500</v>
      </c>
      <c r="E332" s="10">
        <v>4500</v>
      </c>
      <c r="F332" s="10" t="s">
        <v>26</v>
      </c>
    </row>
    <row r="333" spans="1:6" x14ac:dyDescent="0.3">
      <c r="A333" s="9">
        <v>45623</v>
      </c>
      <c r="B333" s="10" t="s">
        <v>3</v>
      </c>
      <c r="C333" s="10">
        <v>6</v>
      </c>
      <c r="D333" s="10">
        <v>500</v>
      </c>
      <c r="E333" s="10">
        <v>3000</v>
      </c>
      <c r="F333" s="10" t="s">
        <v>26</v>
      </c>
    </row>
    <row r="334" spans="1:6" x14ac:dyDescent="0.3">
      <c r="A334" s="9">
        <v>45624</v>
      </c>
      <c r="B334" s="10" t="s">
        <v>3</v>
      </c>
      <c r="C334" s="10">
        <v>4</v>
      </c>
      <c r="D334" s="10">
        <v>500</v>
      </c>
      <c r="E334" s="10">
        <v>2000</v>
      </c>
      <c r="F334" s="10" t="s">
        <v>26</v>
      </c>
    </row>
    <row r="335" spans="1:6" x14ac:dyDescent="0.3">
      <c r="A335" s="9">
        <v>45625</v>
      </c>
      <c r="B335" s="10" t="s">
        <v>5</v>
      </c>
      <c r="C335" s="10">
        <v>2</v>
      </c>
      <c r="D335" s="10">
        <v>3000</v>
      </c>
      <c r="E335" s="10">
        <v>6000</v>
      </c>
      <c r="F335" s="10" t="s">
        <v>26</v>
      </c>
    </row>
    <row r="336" spans="1:6" x14ac:dyDescent="0.3">
      <c r="A336" s="9">
        <v>45626</v>
      </c>
      <c r="B336" s="10" t="s">
        <v>3</v>
      </c>
      <c r="C336" s="10">
        <v>3</v>
      </c>
      <c r="D336" s="10">
        <v>500</v>
      </c>
      <c r="E336" s="10">
        <v>1500</v>
      </c>
      <c r="F336" s="10" t="s">
        <v>26</v>
      </c>
    </row>
    <row r="337" spans="1:6" x14ac:dyDescent="0.3">
      <c r="A337" s="9">
        <v>45627</v>
      </c>
      <c r="B337" s="10" t="s">
        <v>4</v>
      </c>
      <c r="C337" s="10">
        <v>3</v>
      </c>
      <c r="D337" s="10">
        <v>2000</v>
      </c>
      <c r="E337" s="10">
        <v>6000</v>
      </c>
      <c r="F337" s="10" t="s">
        <v>27</v>
      </c>
    </row>
    <row r="338" spans="1:6" x14ac:dyDescent="0.3">
      <c r="A338" s="9">
        <v>45628</v>
      </c>
      <c r="B338" s="10" t="s">
        <v>4</v>
      </c>
      <c r="C338" s="10">
        <v>1</v>
      </c>
      <c r="D338" s="10">
        <v>2000</v>
      </c>
      <c r="E338" s="10">
        <v>2000</v>
      </c>
      <c r="F338" s="10" t="s">
        <v>27</v>
      </c>
    </row>
    <row r="339" spans="1:6" x14ac:dyDescent="0.3">
      <c r="A339" s="9">
        <v>45629</v>
      </c>
      <c r="B339" s="10" t="s">
        <v>5</v>
      </c>
      <c r="C339" s="10">
        <v>5</v>
      </c>
      <c r="D339" s="10">
        <v>3000</v>
      </c>
      <c r="E339" s="10">
        <v>15000</v>
      </c>
      <c r="F339" s="10" t="s">
        <v>27</v>
      </c>
    </row>
    <row r="340" spans="1:6" x14ac:dyDescent="0.3">
      <c r="A340" s="9">
        <v>45630</v>
      </c>
      <c r="B340" s="10" t="s">
        <v>2</v>
      </c>
      <c r="C340" s="10">
        <v>6</v>
      </c>
      <c r="D340" s="10">
        <v>1500</v>
      </c>
      <c r="E340" s="10">
        <v>9000</v>
      </c>
      <c r="F340" s="10" t="s">
        <v>27</v>
      </c>
    </row>
    <row r="341" spans="1:6" x14ac:dyDescent="0.3">
      <c r="A341" s="9">
        <v>45631</v>
      </c>
      <c r="B341" s="10" t="s">
        <v>5</v>
      </c>
      <c r="C341" s="10">
        <v>6</v>
      </c>
      <c r="D341" s="10">
        <v>3000</v>
      </c>
      <c r="E341" s="10">
        <v>18000</v>
      </c>
      <c r="F341" s="10" t="s">
        <v>27</v>
      </c>
    </row>
    <row r="342" spans="1:6" x14ac:dyDescent="0.3">
      <c r="A342" s="9">
        <v>45632</v>
      </c>
      <c r="B342" s="10" t="s">
        <v>5</v>
      </c>
      <c r="C342" s="10">
        <v>1</v>
      </c>
      <c r="D342" s="10">
        <v>3000</v>
      </c>
      <c r="E342" s="10">
        <v>3000</v>
      </c>
      <c r="F342" s="10" t="s">
        <v>27</v>
      </c>
    </row>
    <row r="343" spans="1:6" x14ac:dyDescent="0.3">
      <c r="A343" s="9">
        <v>45633</v>
      </c>
      <c r="B343" s="10" t="s">
        <v>2</v>
      </c>
      <c r="C343" s="10">
        <v>6</v>
      </c>
      <c r="D343" s="10">
        <v>1500</v>
      </c>
      <c r="E343" s="10">
        <v>9000</v>
      </c>
      <c r="F343" s="10" t="s">
        <v>27</v>
      </c>
    </row>
    <row r="344" spans="1:6" x14ac:dyDescent="0.3">
      <c r="A344" s="9">
        <v>45634</v>
      </c>
      <c r="B344" s="10" t="s">
        <v>5</v>
      </c>
      <c r="C344" s="10">
        <v>1</v>
      </c>
      <c r="D344" s="10">
        <v>3000</v>
      </c>
      <c r="E344" s="10">
        <v>3000</v>
      </c>
      <c r="F344" s="10" t="s">
        <v>27</v>
      </c>
    </row>
    <row r="345" spans="1:6" x14ac:dyDescent="0.3">
      <c r="A345" s="9">
        <v>45635</v>
      </c>
      <c r="B345" s="10" t="s">
        <v>2</v>
      </c>
      <c r="C345" s="10">
        <v>1</v>
      </c>
      <c r="D345" s="10">
        <v>1500</v>
      </c>
      <c r="E345" s="10">
        <v>1500</v>
      </c>
      <c r="F345" s="10" t="s">
        <v>27</v>
      </c>
    </row>
    <row r="346" spans="1:6" x14ac:dyDescent="0.3">
      <c r="A346" s="9">
        <v>45636</v>
      </c>
      <c r="B346" s="10" t="s">
        <v>2</v>
      </c>
      <c r="C346" s="10">
        <v>6</v>
      </c>
      <c r="D346" s="10">
        <v>1500</v>
      </c>
      <c r="E346" s="10">
        <v>9000</v>
      </c>
      <c r="F346" s="10" t="s">
        <v>27</v>
      </c>
    </row>
    <row r="347" spans="1:6" x14ac:dyDescent="0.3">
      <c r="A347" s="9">
        <v>45637</v>
      </c>
      <c r="B347" s="10" t="s">
        <v>2</v>
      </c>
      <c r="C347" s="10">
        <v>6</v>
      </c>
      <c r="D347" s="10">
        <v>1500</v>
      </c>
      <c r="E347" s="10">
        <v>9000</v>
      </c>
      <c r="F347" s="10" t="s">
        <v>27</v>
      </c>
    </row>
    <row r="348" spans="1:6" x14ac:dyDescent="0.3">
      <c r="A348" s="9">
        <v>45638</v>
      </c>
      <c r="B348" s="10" t="s">
        <v>5</v>
      </c>
      <c r="C348" s="10">
        <v>1</v>
      </c>
      <c r="D348" s="10">
        <v>3000</v>
      </c>
      <c r="E348" s="10">
        <v>3000</v>
      </c>
      <c r="F348" s="10" t="s">
        <v>27</v>
      </c>
    </row>
    <row r="349" spans="1:6" x14ac:dyDescent="0.3">
      <c r="A349" s="9">
        <v>45639</v>
      </c>
      <c r="B349" s="10" t="s">
        <v>2</v>
      </c>
      <c r="C349" s="10">
        <v>6</v>
      </c>
      <c r="D349" s="10">
        <v>1500</v>
      </c>
      <c r="E349" s="10">
        <v>9000</v>
      </c>
      <c r="F349" s="10" t="s">
        <v>27</v>
      </c>
    </row>
    <row r="350" spans="1:6" x14ac:dyDescent="0.3">
      <c r="A350" s="9">
        <v>45640</v>
      </c>
      <c r="B350" s="10" t="s">
        <v>2</v>
      </c>
      <c r="C350" s="10">
        <v>1</v>
      </c>
      <c r="D350" s="10">
        <v>1500</v>
      </c>
      <c r="E350" s="10">
        <v>1500</v>
      </c>
      <c r="F350" s="10" t="s">
        <v>27</v>
      </c>
    </row>
    <row r="351" spans="1:6" x14ac:dyDescent="0.3">
      <c r="A351" s="9">
        <v>45641</v>
      </c>
      <c r="B351" s="10" t="s">
        <v>3</v>
      </c>
      <c r="C351" s="10">
        <v>3</v>
      </c>
      <c r="D351" s="10">
        <v>500</v>
      </c>
      <c r="E351" s="10">
        <v>1500</v>
      </c>
      <c r="F351" s="10" t="s">
        <v>27</v>
      </c>
    </row>
    <row r="352" spans="1:6" x14ac:dyDescent="0.3">
      <c r="A352" s="9">
        <v>45642</v>
      </c>
      <c r="B352" s="10" t="s">
        <v>5</v>
      </c>
      <c r="C352" s="10">
        <v>3</v>
      </c>
      <c r="D352" s="10">
        <v>3000</v>
      </c>
      <c r="E352" s="10">
        <v>9000</v>
      </c>
      <c r="F352" s="10" t="s">
        <v>27</v>
      </c>
    </row>
    <row r="353" spans="1:6" x14ac:dyDescent="0.3">
      <c r="A353" s="9">
        <v>45643</v>
      </c>
      <c r="B353" s="10" t="s">
        <v>4</v>
      </c>
      <c r="C353" s="10">
        <v>3</v>
      </c>
      <c r="D353" s="10">
        <v>2000</v>
      </c>
      <c r="E353" s="10">
        <v>6000</v>
      </c>
      <c r="F353" s="10" t="s">
        <v>27</v>
      </c>
    </row>
    <row r="354" spans="1:6" x14ac:dyDescent="0.3">
      <c r="A354" s="9">
        <v>45644</v>
      </c>
      <c r="B354" s="10" t="s">
        <v>4</v>
      </c>
      <c r="C354" s="10">
        <v>6</v>
      </c>
      <c r="D354" s="10">
        <v>2000</v>
      </c>
      <c r="E354" s="10">
        <v>12000</v>
      </c>
      <c r="F354" s="10" t="s">
        <v>27</v>
      </c>
    </row>
    <row r="355" spans="1:6" x14ac:dyDescent="0.3">
      <c r="A355" s="9">
        <v>45645</v>
      </c>
      <c r="B355" s="10" t="s">
        <v>2</v>
      </c>
      <c r="C355" s="10">
        <v>5</v>
      </c>
      <c r="D355" s="10">
        <v>1500</v>
      </c>
      <c r="E355" s="10">
        <v>7500</v>
      </c>
      <c r="F355" s="10" t="s">
        <v>27</v>
      </c>
    </row>
    <row r="356" spans="1:6" x14ac:dyDescent="0.3">
      <c r="A356" s="9">
        <v>45646</v>
      </c>
      <c r="B356" s="10" t="s">
        <v>4</v>
      </c>
      <c r="C356" s="10">
        <v>6</v>
      </c>
      <c r="D356" s="10">
        <v>2000</v>
      </c>
      <c r="E356" s="10">
        <v>12000</v>
      </c>
      <c r="F356" s="10" t="s">
        <v>27</v>
      </c>
    </row>
    <row r="357" spans="1:6" x14ac:dyDescent="0.3">
      <c r="A357" s="9">
        <v>45647</v>
      </c>
      <c r="B357" s="10" t="s">
        <v>5</v>
      </c>
      <c r="C357" s="10">
        <v>6</v>
      </c>
      <c r="D357" s="10">
        <v>3000</v>
      </c>
      <c r="E357" s="10">
        <v>18000</v>
      </c>
      <c r="F357" s="10" t="s">
        <v>27</v>
      </c>
    </row>
    <row r="358" spans="1:6" x14ac:dyDescent="0.3">
      <c r="A358" s="9">
        <v>45648</v>
      </c>
      <c r="B358" s="10" t="s">
        <v>3</v>
      </c>
      <c r="C358" s="10">
        <v>2</v>
      </c>
      <c r="D358" s="10">
        <v>500</v>
      </c>
      <c r="E358" s="10">
        <v>1000</v>
      </c>
      <c r="F358" s="10" t="s">
        <v>27</v>
      </c>
    </row>
    <row r="359" spans="1:6" x14ac:dyDescent="0.3">
      <c r="A359" s="9">
        <v>45649</v>
      </c>
      <c r="B359" s="10" t="s">
        <v>3</v>
      </c>
      <c r="C359" s="10">
        <v>6</v>
      </c>
      <c r="D359" s="10">
        <v>500</v>
      </c>
      <c r="E359" s="10">
        <v>3000</v>
      </c>
      <c r="F359" s="10" t="s">
        <v>27</v>
      </c>
    </row>
    <row r="360" spans="1:6" x14ac:dyDescent="0.3">
      <c r="A360" s="9">
        <v>45650</v>
      </c>
      <c r="B360" s="10" t="s">
        <v>4</v>
      </c>
      <c r="C360" s="10">
        <v>4</v>
      </c>
      <c r="D360" s="10">
        <v>2000</v>
      </c>
      <c r="E360" s="10">
        <v>8000</v>
      </c>
      <c r="F360" s="10" t="s">
        <v>27</v>
      </c>
    </row>
    <row r="361" spans="1:6" x14ac:dyDescent="0.3">
      <c r="A361" s="9">
        <v>45651</v>
      </c>
      <c r="B361" s="10" t="s">
        <v>4</v>
      </c>
      <c r="C361" s="10">
        <v>2</v>
      </c>
      <c r="D361" s="10">
        <v>2000</v>
      </c>
      <c r="E361" s="10">
        <v>4000</v>
      </c>
      <c r="F361" s="10" t="s">
        <v>27</v>
      </c>
    </row>
    <row r="362" spans="1:6" x14ac:dyDescent="0.3">
      <c r="A362" s="9">
        <v>45652</v>
      </c>
      <c r="B362" s="10" t="s">
        <v>4</v>
      </c>
      <c r="C362" s="10">
        <v>3</v>
      </c>
      <c r="D362" s="10">
        <v>2000</v>
      </c>
      <c r="E362" s="10">
        <v>6000</v>
      </c>
      <c r="F362" s="10" t="s">
        <v>27</v>
      </c>
    </row>
    <row r="363" spans="1:6" x14ac:dyDescent="0.3">
      <c r="A363" s="9">
        <v>45653</v>
      </c>
      <c r="B363" s="10" t="s">
        <v>2</v>
      </c>
      <c r="C363" s="10">
        <v>1</v>
      </c>
      <c r="D363" s="10">
        <v>1500</v>
      </c>
      <c r="E363" s="10">
        <v>1500</v>
      </c>
      <c r="F363" s="10" t="s">
        <v>27</v>
      </c>
    </row>
    <row r="364" spans="1:6" x14ac:dyDescent="0.3">
      <c r="A364" s="9">
        <v>45654</v>
      </c>
      <c r="B364" s="10" t="s">
        <v>3</v>
      </c>
      <c r="C364" s="10">
        <v>1</v>
      </c>
      <c r="D364" s="10">
        <v>500</v>
      </c>
      <c r="E364" s="10">
        <v>500</v>
      </c>
      <c r="F364" s="10" t="s">
        <v>27</v>
      </c>
    </row>
    <row r="365" spans="1:6" x14ac:dyDescent="0.3">
      <c r="A365" s="9">
        <v>45655</v>
      </c>
      <c r="B365" s="10" t="s">
        <v>4</v>
      </c>
      <c r="C365" s="10">
        <v>4</v>
      </c>
      <c r="D365" s="10">
        <v>2000</v>
      </c>
      <c r="E365" s="10">
        <v>8000</v>
      </c>
      <c r="F365" s="10" t="s">
        <v>27</v>
      </c>
    </row>
    <row r="366" spans="1:6" x14ac:dyDescent="0.3">
      <c r="A366" s="9">
        <v>45656</v>
      </c>
      <c r="B366" s="10" t="s">
        <v>4</v>
      </c>
      <c r="C366" s="10">
        <v>2</v>
      </c>
      <c r="D366" s="10">
        <v>2000</v>
      </c>
      <c r="E366" s="10">
        <v>4000</v>
      </c>
      <c r="F366" s="10" t="s">
        <v>27</v>
      </c>
    </row>
    <row r="367" spans="1:6" x14ac:dyDescent="0.3">
      <c r="A367" s="9">
        <v>45657</v>
      </c>
      <c r="B367" s="10" t="s">
        <v>3</v>
      </c>
      <c r="C367" s="10">
        <v>1</v>
      </c>
      <c r="D367" s="10">
        <v>500</v>
      </c>
      <c r="E367" s="10">
        <v>500</v>
      </c>
      <c r="F367" s="10" t="s">
        <v>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D128-B9AF-4756-9C05-E0EDBACFE15F}">
  <dimension ref="A1:I15"/>
  <sheetViews>
    <sheetView workbookViewId="0">
      <selection activeCell="I5" sqref="I5"/>
    </sheetView>
  </sheetViews>
  <sheetFormatPr defaultRowHeight="14.4" x14ac:dyDescent="0.3"/>
  <cols>
    <col min="1" max="1" width="12.44140625" bestFit="1" customWidth="1"/>
    <col min="2" max="2" width="14.109375" bestFit="1" customWidth="1"/>
    <col min="4" max="4" width="12.44140625" bestFit="1" customWidth="1"/>
    <col min="5" max="5" width="14.109375" bestFit="1" customWidth="1"/>
    <col min="6" max="6" width="13.109375" customWidth="1"/>
    <col min="8" max="8" width="18.5546875" customWidth="1"/>
    <col min="9" max="9" width="12.44140625" customWidth="1"/>
    <col min="10" max="10" width="12.44140625" bestFit="1" customWidth="1"/>
    <col min="11" max="11" width="14.109375" bestFit="1" customWidth="1"/>
  </cols>
  <sheetData>
    <row r="1" spans="1:9" ht="18" x14ac:dyDescent="0.3">
      <c r="A1" s="3" t="s">
        <v>11</v>
      </c>
      <c r="B1" s="3" t="s">
        <v>13</v>
      </c>
    </row>
    <row r="2" spans="1:9" ht="18" x14ac:dyDescent="0.35">
      <c r="A2" s="4" t="s">
        <v>12</v>
      </c>
      <c r="B2" s="5">
        <f>SUM('Raw Data'!E2:E367)</f>
        <v>2333000</v>
      </c>
      <c r="C2" t="s">
        <v>6</v>
      </c>
    </row>
    <row r="3" spans="1:9" ht="18" x14ac:dyDescent="0.35">
      <c r="A3" s="4" t="s">
        <v>14</v>
      </c>
      <c r="B3" s="5">
        <f>SUM('Raw Data'!C2:C367)</f>
        <v>1279</v>
      </c>
      <c r="D3" s="6" t="s">
        <v>28</v>
      </c>
      <c r="E3" t="s">
        <v>30</v>
      </c>
    </row>
    <row r="4" spans="1:9" ht="21" x14ac:dyDescent="0.35">
      <c r="A4" s="4" t="s">
        <v>15</v>
      </c>
      <c r="B4" s="11">
        <f>AVERAGE('Raw Data'!E2:E367)</f>
        <v>6374.3169398907103</v>
      </c>
      <c r="D4" s="7" t="s">
        <v>16</v>
      </c>
      <c r="E4">
        <v>213500</v>
      </c>
      <c r="G4" s="12"/>
      <c r="H4" t="s">
        <v>32</v>
      </c>
      <c r="I4" t="s">
        <v>33</v>
      </c>
    </row>
    <row r="5" spans="1:9" x14ac:dyDescent="0.3">
      <c r="A5" s="2"/>
      <c r="D5" s="7" t="s">
        <v>17</v>
      </c>
      <c r="E5">
        <v>177500</v>
      </c>
      <c r="H5" t="s">
        <v>12</v>
      </c>
      <c r="I5" s="14">
        <f>SUM('Raw Data'!E2:E367)</f>
        <v>2333000</v>
      </c>
    </row>
    <row r="6" spans="1:9" x14ac:dyDescent="0.3">
      <c r="D6" s="7" t="s">
        <v>18</v>
      </c>
      <c r="E6">
        <v>133000</v>
      </c>
      <c r="H6" t="s">
        <v>14</v>
      </c>
      <c r="I6">
        <f>SUM('Raw Data'!C2:C367)</f>
        <v>1279</v>
      </c>
    </row>
    <row r="7" spans="1:9" x14ac:dyDescent="0.3">
      <c r="D7" s="7" t="s">
        <v>19</v>
      </c>
      <c r="E7">
        <v>136500</v>
      </c>
      <c r="H7" t="s">
        <v>31</v>
      </c>
      <c r="I7" s="13">
        <f>AVERAGE('Raw Data'!E2:E367)</f>
        <v>6374.3169398907103</v>
      </c>
    </row>
    <row r="8" spans="1:9" x14ac:dyDescent="0.3">
      <c r="D8" s="7" t="s">
        <v>29</v>
      </c>
      <c r="E8">
        <v>660500</v>
      </c>
    </row>
    <row r="10" spans="1:9" x14ac:dyDescent="0.3">
      <c r="A10" s="6" t="s">
        <v>28</v>
      </c>
      <c r="B10" t="s">
        <v>30</v>
      </c>
    </row>
    <row r="11" spans="1:9" x14ac:dyDescent="0.3">
      <c r="A11" s="7" t="s">
        <v>5</v>
      </c>
      <c r="B11">
        <v>249000</v>
      </c>
    </row>
    <row r="12" spans="1:9" x14ac:dyDescent="0.3">
      <c r="A12" s="7" t="s">
        <v>2</v>
      </c>
      <c r="B12">
        <v>196500</v>
      </c>
    </row>
    <row r="13" spans="1:9" x14ac:dyDescent="0.3">
      <c r="A13" s="7" t="s">
        <v>4</v>
      </c>
      <c r="B13">
        <v>162000</v>
      </c>
    </row>
    <row r="14" spans="1:9" x14ac:dyDescent="0.3">
      <c r="A14" s="7" t="s">
        <v>3</v>
      </c>
      <c r="B14">
        <v>53000</v>
      </c>
    </row>
    <row r="15" spans="1:9" x14ac:dyDescent="0.3">
      <c r="A15" s="7" t="s">
        <v>29</v>
      </c>
      <c r="B15">
        <v>660500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8970D-A4AB-4228-9F3B-067B5CDEB395}">
  <dimension ref="H12"/>
  <sheetViews>
    <sheetView showGridLines="0" tabSelected="1" zoomScaleNormal="100" workbookViewId="0">
      <selection activeCell="T12" sqref="T12"/>
    </sheetView>
  </sheetViews>
  <sheetFormatPr defaultRowHeight="14.4" x14ac:dyDescent="0.3"/>
  <sheetData>
    <row r="12" spans="8:8" x14ac:dyDescent="0.3">
      <c r="H12"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Nirbhay Sharma</dc:creator>
  <cp:lastModifiedBy>Nirbhay Sharma</cp:lastModifiedBy>
  <dcterms:created xsi:type="dcterms:W3CDTF">2026-05-04T18:44:34Z</dcterms:created>
  <dcterms:modified xsi:type="dcterms:W3CDTF">2026-05-24T10:42:11Z</dcterms:modified>
</cp:coreProperties>
</file>